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 activeTab="5"/>
  </bookViews>
  <sheets>
    <sheet name="Sales" sheetId="1" r:id="rId1"/>
    <sheet name="Division" sheetId="2" r:id="rId2"/>
    <sheet name="Product" sheetId="3" r:id="rId3"/>
    <sheet name="Segment" sheetId="4" r:id="rId4"/>
    <sheet name="Weekly" sheetId="5" r:id="rId5"/>
    <sheet name="Circulation" sheetId="6" r:id="rId6"/>
  </sheets>
  <definedNames>
    <definedName name="Sales">Sales!$B$25:$F$25</definedName>
  </definedNames>
  <calcPr calcId="124519"/>
  <extLst>
    <ext uri="GoogleSheetsCustomDataVersion1">
      <go:sheetsCustomData xmlns:go="http://customooxmlschemas.google.com/" r:id="" roundtripDataSignature="AMtx7mgu+Kydu51eItIBPzisMYtWpNbFhw=="/>
    </ext>
  </extLst>
</workbook>
</file>

<file path=xl/calcChain.xml><?xml version="1.0" encoding="utf-8"?>
<calcChain xmlns="http://schemas.openxmlformats.org/spreadsheetml/2006/main">
  <c r="F17" i="5"/>
  <c r="F16"/>
  <c r="F15"/>
  <c r="F14"/>
  <c r="F13"/>
  <c r="F26" i="4"/>
  <c r="F22" i="1"/>
  <c r="F16"/>
  <c r="F15"/>
  <c r="F14"/>
  <c r="F13"/>
  <c r="F12"/>
  <c r="F11"/>
  <c r="C25" l="1"/>
</calcChain>
</file>

<file path=xl/sharedStrings.xml><?xml version="1.0" encoding="utf-8"?>
<sst xmlns="http://schemas.openxmlformats.org/spreadsheetml/2006/main" count="218" uniqueCount="97">
  <si>
    <t>Sales Past Three Years</t>
  </si>
  <si>
    <t>2013 - 2015</t>
  </si>
  <si>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</si>
  <si>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</si>
  <si>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</si>
  <si>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</si>
  <si>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</si>
  <si>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</si>
  <si>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</si>
  <si>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</si>
  <si>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</si>
  <si>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</si>
  <si>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</si>
  <si>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</si>
  <si>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</si>
  <si>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</si>
  <si>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</si>
  <si>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</si>
  <si>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</si>
  <si>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</si>
  <si>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</si>
  <si>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</si>
  <si>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</si>
  <si>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</si>
  <si>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</si>
  <si>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</si>
  <si>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</si>
  <si>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</si>
  <si>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</si>
  <si>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</si>
  <si>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</si>
  <si>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</si>
  <si>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</si>
  <si>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</si>
  <si>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</si>
  <si>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</si>
  <si>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</si>
  <si>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</si>
  <si>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</si>
  <si>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</si>
  <si>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</si>
  <si>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:</t>
  </si>
  <si>
    <t>Product</t>
  </si>
  <si>
    <t>Price/Unit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</si>
  <si>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</si>
  <si>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</si>
  <si>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</si>
  <si>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</si>
  <si>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</si>
  <si>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</si>
  <si>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</si>
  <si>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sl.no</t>
  </si>
  <si>
    <t>Segment</t>
  </si>
  <si>
    <t>Country</t>
  </si>
  <si>
    <t>Discount Band</t>
  </si>
  <si>
    <t>Units Sold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</si>
  <si>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</si>
  <si>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</si>
  <si>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</si>
  <si>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</si>
  <si>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</si>
  <si>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</si>
  <si>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</si>
  <si>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</si>
  <si>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</si>
  <si>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</si>
  <si>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</si>
  <si>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</si>
  <si>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</si>
  <si>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 xml:space="preserve"> </t>
  </si>
  <si>
    <t>Total</t>
  </si>
  <si>
    <t>SALES 2020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</si>
  <si>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</si>
  <si>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</si>
  <si>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</si>
  <si>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</si>
  <si>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</si>
  <si>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</si>
  <si>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</si>
  <si>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</si>
  <si>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</si>
  <si>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</si>
  <si>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</si>
  <si>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Circulation Results for the Past Three Years</t>
  </si>
  <si>
    <t>Town</t>
  </si>
  <si>
    <t>Circulation</t>
  </si>
  <si>
    <t>Beverly</t>
  </si>
  <si>
    <t>Cherrydale</t>
  </si>
  <si>
    <t>Jamestown</t>
  </si>
  <si>
    <t>Larksburg</t>
  </si>
  <si>
    <t>Washerville</t>
  </si>
  <si>
    <t>DIVISION</t>
  </si>
  <si>
    <t xml:space="preserve"> $800.300 </t>
  </si>
  <si>
    <t xml:space="preserve"> $650.786 </t>
  </si>
  <si>
    <t xml:space="preserve"> $700.345 </t>
  </si>
  <si>
    <t>PRODUCT</t>
  </si>
  <si>
    <t>SEGMENT</t>
  </si>
</sst>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.000_);_(&quot;$&quot;* \(#,##0.000\);_(&quot;$&quot;* &quot;-&quot;??_);_(@_)"/>
    <numFmt numFmtId="168" formatCode="_(&quot;$&quot;* #,##0_);_(&quot;$&quot;* \(#,##0\);_(&quot;$&quot;* &quot;-&quot;??_);_(@_)"/>
  </numFmts>
  <fonts count="23">
    <font>
      <sz val="11"/>
      <color theme="1"/>
      <name val="Calibri"/>
      <scheme val="minor"/>
    </font>
    <font>
      <b/>
      <u/>
      <sz val="13"/>
      <color theme="1"/>
      <name val="Open Sans"/>
    </font>
    <font>
      <sz val="10"/>
      <color theme="1"/>
      <name val="Open Sans"/>
    </font>
    <font>
      <b/>
      <sz val="12"/>
      <color theme="0"/>
      <name val="Open Sans"/>
    </font>
    <font>
      <b/>
      <sz val="10"/>
      <color theme="1"/>
      <name val="Open Sans"/>
    </font>
    <font>
      <b/>
      <sz val="12"/>
      <color theme="1"/>
      <name val="Open Sans"/>
    </font>
    <font>
      <b/>
      <sz val="11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8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rgb="FFFFFFFF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</font>
    <font>
      <b/>
      <sz val="13"/>
      <color theme="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8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808080"/>
        <bgColor rgb="FF808080"/>
      </patternFill>
    </fill>
    <fill>
      <patternFill patternType="solid">
        <fgColor rgb="FFA5A5A5"/>
        <bgColor rgb="FFA5A5A5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indexed="64"/>
      </patternFill>
    </fill>
    <fill>
      <patternFill patternType="solid">
        <fgColor rgb="FFBDD6EE"/>
        <bgColor rgb="FFBDD6EE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8" fillId="0" borderId="16" applyNumberFormat="0" applyFill="0" applyAlignment="0" applyProtection="0"/>
  </cellStyleXfs>
  <cellXfs count="6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49" fontId="5" fillId="0" borderId="0" xfId="0" applyNumberFormat="1" applyFont="1" applyAlignment="1">
      <alignment horizontal="center"/>
    </xf>
    <xf numFmtId="165" fontId="7" fillId="3" borderId="4" xfId="0" applyNumberFormat="1" applyFont="1" applyFill="1" applyBorder="1" applyAlignment="1">
      <alignment horizontal="left"/>
    </xf>
    <xf numFmtId="166" fontId="7" fillId="3" borderId="5" xfId="0" applyNumberFormat="1" applyFont="1" applyFill="1" applyBorder="1" applyAlignment="1">
      <alignment horizontal="left"/>
    </xf>
    <xf numFmtId="167" fontId="8" fillId="3" borderId="5" xfId="0" applyNumberFormat="1" applyFont="1" applyFill="1" applyBorder="1"/>
    <xf numFmtId="0" fontId="9" fillId="0" borderId="0" xfId="0" applyFont="1"/>
    <xf numFmtId="0" fontId="11" fillId="4" borderId="6" xfId="0" applyFont="1" applyFill="1" applyBorder="1"/>
    <xf numFmtId="168" fontId="12" fillId="0" borderId="10" xfId="0" applyNumberFormat="1" applyFont="1" applyBorder="1" applyAlignment="1">
      <alignment horizontal="center"/>
    </xf>
    <xf numFmtId="0" fontId="11" fillId="6" borderId="11" xfId="0" applyFont="1" applyFill="1" applyBorder="1" applyAlignment="1">
      <alignment horizontal="left"/>
    </xf>
    <xf numFmtId="0" fontId="11" fillId="6" borderId="11" xfId="0" applyFont="1" applyFill="1" applyBorder="1" applyAlignment="1">
      <alignment horizontal="center"/>
    </xf>
    <xf numFmtId="0" fontId="11" fillId="6" borderId="11" xfId="0" applyFont="1" applyFill="1" applyBorder="1"/>
    <xf numFmtId="0" fontId="17" fillId="0" borderId="0" xfId="0" applyFont="1"/>
    <xf numFmtId="165" fontId="19" fillId="3" borderId="2" xfId="0" applyNumberFormat="1" applyFont="1" applyFill="1" applyBorder="1" applyAlignment="1">
      <alignment horizontal="left"/>
    </xf>
    <xf numFmtId="166" fontId="19" fillId="3" borderId="3" xfId="0" applyNumberFormat="1" applyFont="1" applyFill="1" applyBorder="1" applyAlignment="1">
      <alignment horizontal="left"/>
    </xf>
    <xf numFmtId="167" fontId="20" fillId="3" borderId="3" xfId="0" applyNumberFormat="1" applyFont="1" applyFill="1" applyBorder="1" applyAlignment="1"/>
    <xf numFmtId="0" fontId="18" fillId="0" borderId="9" xfId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" fillId="7" borderId="0" xfId="0" applyFont="1" applyFill="1"/>
    <xf numFmtId="0" fontId="22" fillId="7" borderId="0" xfId="0" applyFont="1" applyFill="1"/>
    <xf numFmtId="164" fontId="22" fillId="7" borderId="0" xfId="0" applyNumberFormat="1" applyFont="1" applyFill="1"/>
    <xf numFmtId="164" fontId="22" fillId="7" borderId="0" xfId="0" applyNumberFormat="1" applyFont="1" applyFill="1" applyAlignment="1">
      <alignment horizontal="right"/>
    </xf>
    <xf numFmtId="0" fontId="2" fillId="3" borderId="0" xfId="0" applyFont="1" applyFill="1"/>
    <xf numFmtId="0" fontId="22" fillId="3" borderId="0" xfId="0" applyFont="1" applyFill="1"/>
    <xf numFmtId="164" fontId="22" fillId="3" borderId="0" xfId="0" applyNumberFormat="1" applyFont="1" applyFill="1"/>
    <xf numFmtId="164" fontId="22" fillId="3" borderId="0" xfId="0" applyNumberFormat="1" applyFont="1" applyFill="1" applyAlignment="1">
      <alignment horizontal="right"/>
    </xf>
    <xf numFmtId="0" fontId="18" fillId="0" borderId="16" xfId="1" applyAlignment="1">
      <alignment horizontal="center"/>
    </xf>
    <xf numFmtId="0" fontId="18" fillId="0" borderId="16" xfId="1" applyAlignment="1"/>
    <xf numFmtId="164" fontId="5" fillId="0" borderId="0" xfId="0" applyNumberFormat="1" applyFont="1" applyAlignment="1">
      <alignment horizontal="center"/>
    </xf>
    <xf numFmtId="0" fontId="0" fillId="0" borderId="0" xfId="0" applyFont="1" applyAlignment="1"/>
    <xf numFmtId="0" fontId="18" fillId="8" borderId="16" xfId="1" applyFill="1" applyAlignment="1">
      <alignment horizontal="center"/>
    </xf>
    <xf numFmtId="0" fontId="18" fillId="9" borderId="16" xfId="1" applyFill="1"/>
    <xf numFmtId="0" fontId="11" fillId="4" borderId="9" xfId="0" applyFont="1" applyFill="1" applyBorder="1"/>
    <xf numFmtId="165" fontId="11" fillId="4" borderId="9" xfId="0" applyNumberFormat="1" applyFont="1" applyFill="1" applyBorder="1"/>
    <xf numFmtId="0" fontId="12" fillId="10" borderId="7" xfId="0" applyFont="1" applyFill="1" applyBorder="1"/>
    <xf numFmtId="0" fontId="12" fillId="10" borderId="8" xfId="0" applyFont="1" applyFill="1" applyBorder="1"/>
    <xf numFmtId="165" fontId="12" fillId="10" borderId="7" xfId="0" applyNumberFormat="1" applyFont="1" applyFill="1" applyBorder="1"/>
    <xf numFmtId="0" fontId="12" fillId="3" borderId="7" xfId="0" applyFont="1" applyFill="1" applyBorder="1"/>
    <xf numFmtId="0" fontId="12" fillId="3" borderId="8" xfId="0" applyFont="1" applyFill="1" applyBorder="1"/>
    <xf numFmtId="165" fontId="12" fillId="3" borderId="7" xfId="0" applyNumberFormat="1" applyFont="1" applyFill="1" applyBorder="1"/>
    <xf numFmtId="0" fontId="13" fillId="10" borderId="7" xfId="0" applyFont="1" applyFill="1" applyBorder="1"/>
    <xf numFmtId="0" fontId="14" fillId="10" borderId="0" xfId="0" applyFont="1" applyFill="1"/>
    <xf numFmtId="0" fontId="15" fillId="5" borderId="15" xfId="0" applyFont="1" applyFill="1" applyBorder="1" applyAlignment="1">
      <alignment horizontal="right"/>
    </xf>
    <xf numFmtId="168" fontId="12" fillId="0" borderId="14" xfId="0" applyNumberFormat="1" applyFont="1" applyBorder="1"/>
    <xf numFmtId="0" fontId="6" fillId="2" borderId="13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right"/>
    </xf>
    <xf numFmtId="168" fontId="12" fillId="0" borderId="19" xfId="0" applyNumberFormat="1" applyFont="1" applyBorder="1" applyAlignment="1">
      <alignment horizontal="center"/>
    </xf>
    <xf numFmtId="168" fontId="12" fillId="0" borderId="20" xfId="0" applyNumberFormat="1" applyFont="1" applyBorder="1"/>
    <xf numFmtId="0" fontId="16" fillId="0" borderId="21" xfId="0" applyFont="1" applyBorder="1"/>
    <xf numFmtId="0" fontId="16" fillId="0" borderId="22" xfId="0" applyFont="1" applyBorder="1"/>
    <xf numFmtId="38" fontId="12" fillId="0" borderId="21" xfId="0" applyNumberFormat="1" applyFont="1" applyBorder="1"/>
    <xf numFmtId="38" fontId="12" fillId="0" borderId="22" xfId="0" applyNumberFormat="1" applyFont="1" applyBorder="1"/>
    <xf numFmtId="0" fontId="10" fillId="2" borderId="23" xfId="0" applyFont="1" applyFill="1" applyBorder="1" applyAlignment="1">
      <alignment horizontal="center"/>
    </xf>
    <xf numFmtId="0" fontId="10" fillId="2" borderId="24" xfId="0" applyFont="1" applyFill="1" applyBorder="1"/>
    <xf numFmtId="0" fontId="16" fillId="0" borderId="25" xfId="0" applyFont="1" applyBorder="1"/>
    <xf numFmtId="38" fontId="12" fillId="0" borderId="25" xfId="0" applyNumberFormat="1" applyFont="1" applyBorder="1"/>
  </cellXfs>
  <cellStyles count="2">
    <cellStyle name="Heading 2" xfId="1" builtinId="17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6" formatCode="#,##0;[Red]\-#,##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rgb="FF2E75B5"/>
          <bgColor rgb="FF2E75B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(&quot;$&quot;* #,##0_);_(&quot;$&quot;* \(#,##0\);_(&quot;$&quot;* &quot;-&quot;??_);_(@_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808080"/>
          <bgColor rgb="FF808080"/>
        </patternFill>
      </fill>
      <alignment horizontal="right" vertical="bottom" textRotation="0" wrapText="0" indent="0" relativeIndent="0" justifyLastLine="0" shrinkToFit="0" mergeCell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_);[Red]\(&quot;$&quot;#,##0.00\)"/>
      <fill>
        <patternFill patternType="solid">
          <fgColor rgb="FFDEEAF6"/>
          <bgColor rgb="FFDEEAF6"/>
        </patternFill>
      </fill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_);[Red]\(&quot;$&quot;#,##0.00\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EEAF6"/>
          <bgColor rgb="FFDEEAF6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2E75B5"/>
          <bgColor rgb="FF2E75B5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scheme val="none"/>
      </font>
      <numFmt numFmtId="167" formatCode="_(&quot;$&quot;* #,##0.000_);_(&quot;$&quot;* \(#,##0.000\);_(&quot;$&quot;* &quot;-&quot;??_);_(@_)"/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scheme val="none"/>
      </font>
      <numFmt numFmtId="167" formatCode="_(&quot;$&quot;* #,##0.000_);_(&quot;$&quot;* \(#,##0.000\);_(&quot;$&quot;* &quot;-&quot;??_);_(@_)"/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scheme val="none"/>
      </font>
      <numFmt numFmtId="167" formatCode="_(&quot;$&quot;* #,##0.000_);_(&quot;$&quot;* \(#,##0.000\);_(&quot;$&quot;* &quot;-&quot;??_);_(@_)"/>
      <fill>
        <patternFill patternType="solid">
          <fgColor rgb="FFDEEAF6"/>
          <bgColor rgb="FFDEEAF6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_(* #,##0.00_);_(* \(#,##0.00\);_(* &quot;-&quot;??_);_(@_)"/>
      <fill>
        <patternFill patternType="solid">
          <fgColor rgb="FFDEEAF6"/>
          <bgColor rgb="FFDEEAF6"/>
        </patternFill>
      </fill>
      <alignment horizontal="left" vertical="bottom" textRotation="0" wrapText="0" indent="0" relativeIndent="0" justifyLastLine="0" shrinkToFit="0" mergeCell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  <alignment horizontal="left" vertical="bottom" textRotation="0" wrapText="0" indent="0" relativeIndent="0" justifyLastLine="0" shrinkToFit="0" mergeCell="0" readingOrder="0"/>
      <border diagonalUp="0" diagonalDown="0">
        <left style="medium">
          <color rgb="FF000000"/>
        </left>
        <right/>
        <top style="thin">
          <color theme="4"/>
        </top>
        <bottom/>
        <vertical/>
        <horizontal/>
      </border>
    </dxf>
    <dxf>
      <border outline="0">
        <top style="thick">
          <color theme="4" tint="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scheme val="none"/>
      </font>
      <fill>
        <patternFill patternType="solid">
          <fgColor rgb="FFDEEAF6"/>
          <bgColor rgb="FFDEEAF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30" formatCode="@"/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4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Open Sans"/>
        <scheme val="none"/>
      </font>
      <fill>
        <patternFill patternType="solid">
          <fgColor rgb="FF2E75B5"/>
          <bgColor rgb="FF2E75B5"/>
        </patternFill>
      </fill>
      <alignment horizontal="center" vertical="bottom" textRotation="0" wrapText="0" indent="0" relativeIndent="0" justifyLastLine="0" shrinkToFit="0" mergeCell="0" readingOrder="0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</dxfs>
  <tableStyles count="2">
    <tableStyle name="Product-style" pivot="0" count="3">
      <tableStyleElement type="headerRow" dxfId="53"/>
      <tableStyleElement type="firstRowStripe" dxfId="52"/>
      <tableStyleElement type="secondRowStripe" dxfId="51"/>
    </tableStyle>
    <tableStyle name="Segment-style" pivot="0" count="3">
      <tableStyleElement type="headerRow" dxfId="50"/>
      <tableStyleElement type="firstRowStripe" dxfId="49"/>
      <tableStyleElement type="secondRowStripe" dxfId="48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418309249805314"/>
          <c:y val="0.10364954380702411"/>
          <c:w val="0.76184251968503947"/>
          <c:h val="0.6206542559663486"/>
        </c:manualLayout>
      </c:layout>
      <c:barChart>
        <c:barDir val="col"/>
        <c:grouping val="stacked"/>
        <c:ser>
          <c:idx val="0"/>
          <c:order val="0"/>
          <c:tx>
            <c:v>Week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Weekly!$A$13:$A$17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Weekly!$B$13:$B$17</c:f>
              <c:numCache>
                <c:formatCode>_("$"* #,##0_);_("$"* \(#,##0\);_("$"* "-"??_);_(@_)</c:formatCode>
                <c:ptCount val="5"/>
                <c:pt idx="0">
                  <c:v>4520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</c:numCache>
            </c:numRef>
          </c:val>
        </c:ser>
        <c:ser>
          <c:idx val="1"/>
          <c:order val="1"/>
          <c:tx>
            <c:v>Week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Weekly!$A$13:$A$17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Weekly!$C$13:$C$17</c:f>
              <c:numCache>
                <c:formatCode>_("$"* #,##0_);_("$"* \(#,##0\);_("$"* "-"??_);_(@_)</c:formatCode>
                <c:ptCount val="5"/>
                <c:pt idx="0">
                  <c:v>3620</c:v>
                </c:pt>
                <c:pt idx="1">
                  <c:v>5230</c:v>
                </c:pt>
                <c:pt idx="2">
                  <c:v>2320</c:v>
                </c:pt>
                <c:pt idx="3">
                  <c:v>6510</c:v>
                </c:pt>
                <c:pt idx="4">
                  <c:v>4520</c:v>
                </c:pt>
              </c:numCache>
            </c:numRef>
          </c:val>
        </c:ser>
        <c:ser>
          <c:idx val="2"/>
          <c:order val="2"/>
          <c:tx>
            <c:v>Week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Weekly!$A$13:$A$17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Weekly!$D$13:$D$17</c:f>
              <c:numCache>
                <c:formatCode>_("$"* #,##0_);_("$"* \(#,##0\);_("$"* "-"??_);_(@_)</c:formatCode>
                <c:ptCount val="5"/>
                <c:pt idx="0">
                  <c:v>2560</c:v>
                </c:pt>
                <c:pt idx="1">
                  <c:v>4550</c:v>
                </c:pt>
                <c:pt idx="2">
                  <c:v>3220</c:v>
                </c:pt>
                <c:pt idx="3">
                  <c:v>5660</c:v>
                </c:pt>
                <c:pt idx="4">
                  <c:v>5500</c:v>
                </c:pt>
              </c:numCache>
            </c:numRef>
          </c:val>
        </c:ser>
        <c:overlap val="100"/>
        <c:axId val="89219840"/>
        <c:axId val="89222144"/>
      </c:barChart>
      <c:catAx>
        <c:axId val="8921984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222144"/>
        <c:crosses val="autoZero"/>
        <c:lblAlgn val="ctr"/>
        <c:lblOffset val="100"/>
      </c:catAx>
      <c:valAx>
        <c:axId val="89222144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_(&quot;$&quot;* #,##0_);_(&quot;$&quot;* \(#,##0\);_(&quot;$&quot;* &quot;-&quot;??_);_(@_)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219840"/>
        <c:crosses val="autoZero"/>
        <c:crossBetween val="between"/>
      </c:valAx>
    </c:plotArea>
    <c:legend>
      <c:legendPos val="b"/>
      <c:layout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139700</xdr:rowOff>
    </xdr:from>
    <xdr:ext cx="6629400" cy="530658"/>
    <xdr:sp macro="" textlink="">
      <xdr:nvSpPr>
        <xdr:cNvPr id="2" name="TextBox 1"/>
        <xdr:cNvSpPr txBox="1"/>
      </xdr:nvSpPr>
      <xdr:spPr>
        <a:xfrm>
          <a:off x="50800" y="330200"/>
          <a:ext cx="6629400" cy="530658"/>
        </a:xfrm>
        <a:prstGeom prst="rect">
          <a:avLst/>
        </a:prstGeom>
        <a:solidFill>
          <a:schemeClr val="bg1"/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1 :</a:t>
          </a:r>
        </a:p>
        <a:p>
          <a:r>
            <a:rPr lang="en-US" sz="1400" b="1"/>
            <a:t>Navigate to the range named "Sales" and delete the contents of the selected cells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6350</xdr:rowOff>
    </xdr:from>
    <xdr:ext cx="8086060" cy="530658"/>
    <xdr:sp macro="" textlink="">
      <xdr:nvSpPr>
        <xdr:cNvPr id="2" name="TextBox 1"/>
        <xdr:cNvSpPr txBox="1"/>
      </xdr:nvSpPr>
      <xdr:spPr>
        <a:xfrm>
          <a:off x="50800" y="196850"/>
          <a:ext cx="808606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2 : </a:t>
          </a:r>
        </a:p>
        <a:p>
          <a:r>
            <a:rPr lang="en-US" sz="1400" b="1"/>
            <a:t>On the  "Division" worksheet in cells C2:E9, format the cells to display the numbers to two decimal places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6350</xdr:rowOff>
    </xdr:from>
    <xdr:ext cx="7232650" cy="530658"/>
    <xdr:sp macro="" textlink="">
      <xdr:nvSpPr>
        <xdr:cNvPr id="2" name="TextBox 1"/>
        <xdr:cNvSpPr txBox="1"/>
      </xdr:nvSpPr>
      <xdr:spPr>
        <a:xfrm>
          <a:off x="19050" y="196850"/>
          <a:ext cx="723265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3 :</a:t>
          </a:r>
        </a:p>
        <a:p>
          <a:r>
            <a:rPr lang="en-US" sz="1400" b="1"/>
            <a:t>On the "Product " worksheet ,extend the formula in cell E2 to the end of the table column ?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0</xdr:row>
      <xdr:rowOff>184150</xdr:rowOff>
    </xdr:from>
    <xdr:ext cx="6248400" cy="530658"/>
    <xdr:sp macro="" textlink="">
      <xdr:nvSpPr>
        <xdr:cNvPr id="2" name="TextBox 1"/>
        <xdr:cNvSpPr txBox="1"/>
      </xdr:nvSpPr>
      <xdr:spPr>
        <a:xfrm>
          <a:off x="25400" y="184150"/>
          <a:ext cx="624840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4 :</a:t>
          </a:r>
        </a:p>
        <a:p>
          <a:r>
            <a:rPr lang="en-US" sz="1400" b="1"/>
            <a:t>Remove all conditional formatting rules from the "Segment" worksheet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307975</xdr:colOff>
      <xdr:row>10</xdr:row>
      <xdr:rowOff>25400</xdr:rowOff>
    </xdr:from>
    <xdr:ext cx="4333875" cy="2400300"/>
    <xdr:graphicFrame macro="">
      <xdr:nvGraphicFramePr>
        <xdr:cNvPr id="16077081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69850</xdr:colOff>
      <xdr:row>2</xdr:row>
      <xdr:rowOff>19050</xdr:rowOff>
    </xdr:from>
    <xdr:ext cx="6121400" cy="530658"/>
    <xdr:sp macro="" textlink="">
      <xdr:nvSpPr>
        <xdr:cNvPr id="3" name="TextBox 2"/>
        <xdr:cNvSpPr txBox="1"/>
      </xdr:nvSpPr>
      <xdr:spPr>
        <a:xfrm>
          <a:off x="69850" y="400050"/>
          <a:ext cx="612140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5 :</a:t>
          </a:r>
        </a:p>
        <a:p>
          <a:r>
            <a:rPr lang="en-US" sz="1400" b="1"/>
            <a:t>Remove all conditional formatting rules from the "Segment" worksheet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12700</xdr:rowOff>
    </xdr:from>
    <xdr:ext cx="8633902" cy="530658"/>
    <xdr:sp macro="" textlink="">
      <xdr:nvSpPr>
        <xdr:cNvPr id="2" name="TextBox 1"/>
        <xdr:cNvSpPr txBox="1"/>
      </xdr:nvSpPr>
      <xdr:spPr>
        <a:xfrm>
          <a:off x="25400" y="203200"/>
          <a:ext cx="8633902" cy="530658"/>
        </a:xfrm>
        <a:prstGeom prst="rect">
          <a:avLst/>
        </a:prstGeom>
        <a:solidFill>
          <a:schemeClr val="bg1"/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6 :</a:t>
          </a:r>
        </a:p>
        <a:p>
          <a:r>
            <a:rPr lang="en-US" sz="1400" b="1"/>
            <a:t>Copy the formatting of the title of the "Circulation" worksheet and apply it to the title of the " sales" worksheet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tables/table1.xml><?xml version="1.0" encoding="utf-8"?>
<table xmlns="http://schemas.openxmlformats.org/spreadsheetml/2006/main" id="3" name="Table3" displayName="Table3" ref="A10:H22" totalsRowShown="0" headerRowDxfId="47" dataDxfId="45" headerRowBorderDxfId="46">
  <autoFilter ref="A10:H22"/>
  <tableColumns count="8">
    <tableColumn id="1" name="Year" dataDxfId="44"/>
    <tableColumn id="2" name="Month" dataDxfId="43"/>
    <tableColumn id="3" name="Type" dataDxfId="42"/>
    <tableColumn id="4" name="Salesperson" dataDxfId="41"/>
    <tableColumn id="5" name="Region" dataDxfId="40"/>
    <tableColumn id="6" name="Sales" dataDxfId="39"/>
    <tableColumn id="7" name="Units" dataDxfId="38"/>
    <tableColumn id="8" name="Order #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9:E16" headerRowCount="0" totalsRowShown="0" dataDxfId="36" tableBorderDxfId="35">
  <tableColumns count="5">
    <tableColumn id="1" name="Column1" dataDxfId="34"/>
    <tableColumn id="2" name="Column2" dataDxfId="33"/>
    <tableColumn id="3" name="Column3" dataDxfId="32"/>
    <tableColumn id="4" name="Column4" dataDxfId="31"/>
    <tableColumn id="5" name="Column5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8:E22" totalsRowShown="0" headerRowDxfId="29" dataDxfId="27" headerRowBorderDxfId="28">
  <autoFilter ref="A8:E22"/>
  <tableColumns count="5">
    <tableColumn id="1" name="Salesperson" dataDxfId="26"/>
    <tableColumn id="2" name="Product" dataDxfId="25"/>
    <tableColumn id="3" name="Units" dataDxfId="24"/>
    <tableColumn id="4" name="Price/Unit" dataDxfId="23"/>
    <tableColumn id="5" name="Sales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9:F25" totalsRowShown="0">
  <autoFilter ref="A9:F25"/>
  <tableColumns count="6">
    <tableColumn id="1" name="sl.no" dataDxfId="20"/>
    <tableColumn id="2" name="Segment" dataDxfId="19"/>
    <tableColumn id="3" name="Country" dataDxfId="18"/>
    <tableColumn id="4" name="Product" dataDxfId="17"/>
    <tableColumn id="5" name="Discount Band" dataDxfId="16"/>
    <tableColumn id="6" name="Units Sold" dataDxfId="1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2:F17" totalsRowShown="0" headerRowDxfId="4" dataDxfId="5" headerRowBorderDxfId="13" tableBorderDxfId="14" totalsRowBorderDxfId="12">
  <autoFilter ref="A12:F17"/>
  <tableColumns count="6">
    <tableColumn id="1" name="Sales Person" dataDxfId="11"/>
    <tableColumn id="2" name="Week 1" dataDxfId="10"/>
    <tableColumn id="3" name="Week 2" dataDxfId="9"/>
    <tableColumn id="4" name="Week 3" dataDxfId="8"/>
    <tableColumn id="5" name="Week 4" dataDxfId="7"/>
    <tableColumn id="6" name="Totals" dataDxfId="6">
      <calculatedColumnFormula>SUM(B13:E13)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9:B14" totalsRowShown="0" headerRowBorderDxfId="2" tableBorderDxfId="3">
  <autoFilter ref="A9:B14"/>
  <tableColumns count="2">
    <tableColumn id="1" name="Town" dataDxfId="1"/>
    <tableColumn id="2" name="Circul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7:I1006"/>
  <sheetViews>
    <sheetView workbookViewId="0">
      <selection activeCell="P14" sqref="P14"/>
    </sheetView>
  </sheetViews>
  <sheetFormatPr defaultColWidth="14.453125" defaultRowHeight="15" customHeight="1"/>
  <cols>
    <col min="1" max="1" width="8.7265625" customWidth="1"/>
    <col min="2" max="2" width="9.54296875" customWidth="1"/>
    <col min="3" max="3" width="8.7265625" customWidth="1"/>
    <col min="4" max="4" width="15.7265625" customWidth="1"/>
    <col min="5" max="5" width="10.26953125" customWidth="1"/>
    <col min="6" max="6" width="12" customWidth="1"/>
    <col min="7" max="7" width="17.81640625" customWidth="1"/>
    <col min="8" max="8" width="13.453125" customWidth="1"/>
    <col min="9" max="26" width="8.7265625" customWidth="1"/>
  </cols>
  <sheetData>
    <row r="7" spans="1:8" ht="17.5" thickBot="1">
      <c r="A7" s="34" t="s">
        <v>0</v>
      </c>
      <c r="B7" s="35"/>
      <c r="C7" s="35"/>
      <c r="D7" s="35"/>
      <c r="E7" s="35"/>
      <c r="F7" s="35"/>
      <c r="G7" s="35"/>
      <c r="H7" s="35"/>
    </row>
    <row r="8" spans="1:8" ht="18" thickTop="1" thickBot="1">
      <c r="A8" s="34" t="s">
        <v>1</v>
      </c>
      <c r="B8" s="35"/>
      <c r="C8" s="35"/>
      <c r="D8" s="35"/>
      <c r="E8" s="35"/>
      <c r="F8" s="35"/>
      <c r="G8" s="35"/>
      <c r="H8" s="35"/>
    </row>
    <row r="9" spans="1:8" ht="17" thickTop="1">
      <c r="A9" s="2"/>
      <c r="B9" s="1"/>
      <c r="C9" s="3"/>
      <c r="D9" s="1"/>
      <c r="E9" s="3"/>
      <c r="F9" s="3"/>
      <c r="G9" s="3"/>
      <c r="H9" s="2"/>
    </row>
    <row r="10" spans="1:8" ht="16" thickBot="1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</row>
    <row r="11" spans="1:8" ht="14.5" customHeight="1">
      <c r="A11" s="5">
        <v>2013</v>
      </c>
      <c r="B11" s="5" t="s">
        <v>10</v>
      </c>
      <c r="C11" s="5" t="s">
        <v>11</v>
      </c>
      <c r="D11" s="5" t="s">
        <v>12</v>
      </c>
      <c r="E11" s="5" t="s">
        <v>13</v>
      </c>
      <c r="F11" s="6">
        <f t="shared" ref="F11:F16" si="0">G11*1.5</f>
        <v>2395.5</v>
      </c>
      <c r="G11" s="5">
        <v>1597</v>
      </c>
      <c r="H11" s="7" t="s">
        <v>14</v>
      </c>
    </row>
    <row r="12" spans="1:8" ht="14.5">
      <c r="A12" s="5">
        <v>2013</v>
      </c>
      <c r="B12" s="5" t="s">
        <v>10</v>
      </c>
      <c r="C12" s="5" t="s">
        <v>11</v>
      </c>
      <c r="D12" s="5" t="s">
        <v>12</v>
      </c>
      <c r="E12" s="5" t="s">
        <v>13</v>
      </c>
      <c r="F12" s="6">
        <f t="shared" si="0"/>
        <v>11761.5</v>
      </c>
      <c r="G12" s="5">
        <v>7841</v>
      </c>
      <c r="H12" s="7" t="s">
        <v>15</v>
      </c>
    </row>
    <row r="13" spans="1:8" ht="14.5">
      <c r="A13" s="5">
        <v>2013</v>
      </c>
      <c r="B13" s="5" t="s">
        <v>10</v>
      </c>
      <c r="C13" s="5" t="s">
        <v>16</v>
      </c>
      <c r="D13" s="5" t="s">
        <v>12</v>
      </c>
      <c r="E13" s="5" t="s">
        <v>13</v>
      </c>
      <c r="F13" s="6">
        <f t="shared" si="0"/>
        <v>8943</v>
      </c>
      <c r="G13" s="5">
        <v>5962</v>
      </c>
      <c r="H13" s="7" t="s">
        <v>17</v>
      </c>
    </row>
    <row r="14" spans="1:8" ht="14.5">
      <c r="A14" s="5">
        <v>2013</v>
      </c>
      <c r="B14" s="5" t="s">
        <v>10</v>
      </c>
      <c r="C14" s="5" t="s">
        <v>11</v>
      </c>
      <c r="D14" s="5" t="s">
        <v>12</v>
      </c>
      <c r="E14" s="5" t="s">
        <v>13</v>
      </c>
      <c r="F14" s="6">
        <f t="shared" si="0"/>
        <v>2395.5</v>
      </c>
      <c r="G14" s="5">
        <v>1597</v>
      </c>
      <c r="H14" s="7" t="s">
        <v>18</v>
      </c>
    </row>
    <row r="15" spans="1:8" ht="14.5">
      <c r="A15" s="5">
        <v>2013</v>
      </c>
      <c r="B15" s="5" t="s">
        <v>10</v>
      </c>
      <c r="C15" s="5" t="s">
        <v>11</v>
      </c>
      <c r="D15" s="5" t="s">
        <v>12</v>
      </c>
      <c r="E15" s="5" t="s">
        <v>13</v>
      </c>
      <c r="F15" s="6">
        <f t="shared" si="0"/>
        <v>11761.5</v>
      </c>
      <c r="G15" s="5">
        <v>7841</v>
      </c>
      <c r="H15" s="7" t="s">
        <v>19</v>
      </c>
    </row>
    <row r="16" spans="1:8" ht="14.5">
      <c r="A16" s="5">
        <v>2013</v>
      </c>
      <c r="B16" s="5" t="s">
        <v>10</v>
      </c>
      <c r="C16" s="5" t="s">
        <v>16</v>
      </c>
      <c r="D16" s="5" t="s">
        <v>12</v>
      </c>
      <c r="E16" s="5" t="s">
        <v>13</v>
      </c>
      <c r="F16" s="6">
        <f t="shared" si="0"/>
        <v>8943</v>
      </c>
      <c r="G16" s="5">
        <v>5962</v>
      </c>
      <c r="H16" s="7" t="s">
        <v>20</v>
      </c>
    </row>
    <row r="17" spans="1:9" ht="14.5">
      <c r="A17" s="5">
        <v>2013</v>
      </c>
      <c r="B17" s="5" t="s">
        <v>10</v>
      </c>
      <c r="C17" s="5" t="s">
        <v>16</v>
      </c>
      <c r="D17" s="5" t="s">
        <v>21</v>
      </c>
      <c r="E17" s="5" t="s">
        <v>22</v>
      </c>
      <c r="F17" s="6">
        <v>14596.5</v>
      </c>
      <c r="G17" s="5">
        <v>9731</v>
      </c>
      <c r="H17" s="7" t="s">
        <v>23</v>
      </c>
    </row>
    <row r="18" spans="1:9" ht="14.5">
      <c r="A18" s="5">
        <v>2013</v>
      </c>
      <c r="B18" s="5" t="s">
        <v>10</v>
      </c>
      <c r="C18" s="5" t="s">
        <v>24</v>
      </c>
      <c r="D18" s="5" t="s">
        <v>21</v>
      </c>
      <c r="E18" s="5" t="s">
        <v>22</v>
      </c>
      <c r="F18" s="6">
        <v>8793</v>
      </c>
      <c r="G18" s="5">
        <v>5862</v>
      </c>
      <c r="H18" s="7" t="s">
        <v>25</v>
      </c>
    </row>
    <row r="19" spans="1:9" ht="14.5">
      <c r="A19" s="5">
        <v>2013</v>
      </c>
      <c r="B19" s="5" t="s">
        <v>10</v>
      </c>
      <c r="C19" s="5" t="s">
        <v>16</v>
      </c>
      <c r="D19" s="5" t="s">
        <v>21</v>
      </c>
      <c r="E19" s="5" t="s">
        <v>22</v>
      </c>
      <c r="F19" s="6">
        <v>14596.5</v>
      </c>
      <c r="G19" s="5">
        <v>9731</v>
      </c>
      <c r="H19" s="7" t="s">
        <v>26</v>
      </c>
    </row>
    <row r="20" spans="1:9" ht="14.5">
      <c r="A20" s="5">
        <v>2013</v>
      </c>
      <c r="B20" s="5" t="s">
        <v>10</v>
      </c>
      <c r="C20" s="5" t="s">
        <v>24</v>
      </c>
      <c r="D20" s="5" t="s">
        <v>21</v>
      </c>
      <c r="E20" s="5" t="s">
        <v>22</v>
      </c>
      <c r="F20" s="6">
        <v>8793</v>
      </c>
      <c r="G20" s="5">
        <v>5862</v>
      </c>
      <c r="H20" s="7" t="s">
        <v>27</v>
      </c>
    </row>
    <row r="21" spans="1:9" ht="14.5">
      <c r="A21" s="5">
        <v>2013</v>
      </c>
      <c r="B21" s="5" t="s">
        <v>10</v>
      </c>
      <c r="C21" s="5" t="s">
        <v>11</v>
      </c>
      <c r="D21" s="5" t="s">
        <v>28</v>
      </c>
      <c r="E21" s="5" t="s">
        <v>29</v>
      </c>
      <c r="F21" s="6">
        <v>4666</v>
      </c>
      <c r="G21" s="5">
        <v>5623</v>
      </c>
      <c r="H21" s="7" t="s">
        <v>30</v>
      </c>
    </row>
    <row r="22" spans="1:9" ht="14.5">
      <c r="A22" s="5">
        <v>2013</v>
      </c>
      <c r="B22" s="5" t="s">
        <v>10</v>
      </c>
      <c r="C22" s="5" t="s">
        <v>11</v>
      </c>
      <c r="D22" s="5" t="s">
        <v>28</v>
      </c>
      <c r="E22" s="5" t="s">
        <v>29</v>
      </c>
      <c r="F22" s="6">
        <f>G22*1.5</f>
        <v>7318.5</v>
      </c>
      <c r="G22" s="5">
        <v>4879</v>
      </c>
      <c r="H22" s="7" t="s">
        <v>31</v>
      </c>
    </row>
    <row r="25" spans="1:9" ht="15.5">
      <c r="B25" s="8">
        <v>2013</v>
      </c>
      <c r="C25" s="36">
        <f>-SUM(F11:F22)</f>
        <v>-104963.5</v>
      </c>
      <c r="D25" s="37"/>
      <c r="E25" s="37"/>
      <c r="F25" s="37"/>
      <c r="G25" s="9"/>
      <c r="H25" s="8"/>
      <c r="I25" s="10"/>
    </row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7:H7"/>
    <mergeCell ref="A8:H8"/>
    <mergeCell ref="C25:F25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6:E1007"/>
  <sheetViews>
    <sheetView topLeftCell="A6" workbookViewId="0">
      <selection activeCell="D22" sqref="D22"/>
    </sheetView>
  </sheetViews>
  <sheetFormatPr defaultColWidth="14.453125" defaultRowHeight="15" customHeight="1"/>
  <cols>
    <col min="1" max="1" width="11.453125" customWidth="1"/>
    <col min="2" max="2" width="19.6328125" customWidth="1"/>
    <col min="3" max="3" width="14.7265625" customWidth="1"/>
    <col min="4" max="4" width="16.54296875" customWidth="1"/>
    <col min="5" max="5" width="13.453125" customWidth="1"/>
    <col min="6" max="26" width="8.7265625" customWidth="1"/>
  </cols>
  <sheetData>
    <row r="6" spans="1:5" ht="15" customHeight="1" thickBot="1">
      <c r="A6" s="34" t="s">
        <v>91</v>
      </c>
      <c r="B6" s="34"/>
      <c r="C6" s="34"/>
      <c r="D6" s="34"/>
      <c r="E6" s="34"/>
    </row>
    <row r="7" spans="1:5" ht="15" customHeight="1" thickTop="1">
      <c r="A7" s="24"/>
      <c r="B7" s="24"/>
      <c r="C7" s="24"/>
      <c r="D7" s="24"/>
      <c r="E7" s="24"/>
    </row>
    <row r="8" spans="1:5" thickBot="1"/>
    <row r="9" spans="1:5" ht="14.5">
      <c r="A9" s="21" t="s">
        <v>32</v>
      </c>
      <c r="B9" s="22" t="s">
        <v>33</v>
      </c>
      <c r="C9" s="23" t="s">
        <v>92</v>
      </c>
      <c r="D9" s="23" t="s">
        <v>93</v>
      </c>
      <c r="E9" s="23" t="s">
        <v>94</v>
      </c>
    </row>
    <row r="10" spans="1:5" ht="14.5">
      <c r="A10" s="11" t="s">
        <v>32</v>
      </c>
      <c r="B10" s="12" t="s">
        <v>34</v>
      </c>
      <c r="C10" s="13">
        <v>900.45</v>
      </c>
      <c r="D10" s="13">
        <v>345.87599999999998</v>
      </c>
      <c r="E10" s="13">
        <v>850.24800000000005</v>
      </c>
    </row>
    <row r="11" spans="1:5" ht="14.5">
      <c r="A11" s="11" t="s">
        <v>32</v>
      </c>
      <c r="B11" s="12" t="s">
        <v>35</v>
      </c>
      <c r="C11" s="13">
        <v>4850.7889999999998</v>
      </c>
      <c r="D11" s="13">
        <v>3200.4589999999998</v>
      </c>
      <c r="E11" s="13">
        <v>1155.7829999999999</v>
      </c>
    </row>
    <row r="12" spans="1:5" ht="14.5">
      <c r="A12" s="11" t="s">
        <v>32</v>
      </c>
      <c r="B12" s="12" t="s">
        <v>36</v>
      </c>
      <c r="C12" s="13">
        <v>1250.5429999999999</v>
      </c>
      <c r="D12" s="13">
        <v>1250.7339999999999</v>
      </c>
      <c r="E12" s="13">
        <v>1250.7829999999999</v>
      </c>
    </row>
    <row r="13" spans="1:5" ht="14.5">
      <c r="A13" s="11" t="s">
        <v>32</v>
      </c>
      <c r="B13" s="12" t="s">
        <v>37</v>
      </c>
      <c r="C13" s="13">
        <v>378.89699999999999</v>
      </c>
      <c r="D13" s="13">
        <v>2200.7820000000002</v>
      </c>
      <c r="E13" s="13">
        <v>1650.348</v>
      </c>
    </row>
    <row r="14" spans="1:5" ht="14.5">
      <c r="A14" s="11" t="s">
        <v>32</v>
      </c>
      <c r="B14" s="12" t="s">
        <v>38</v>
      </c>
      <c r="C14" s="13">
        <v>1350.7629999999999</v>
      </c>
      <c r="D14" s="13">
        <v>1500.653</v>
      </c>
      <c r="E14" s="13">
        <v>1700.3869999999999</v>
      </c>
    </row>
    <row r="15" spans="1:5" ht="14.5">
      <c r="A15" s="11" t="s">
        <v>32</v>
      </c>
      <c r="B15" s="12" t="s">
        <v>39</v>
      </c>
      <c r="C15" s="13">
        <v>3300.4560000000001</v>
      </c>
      <c r="D15" s="13">
        <v>3500.4290000000001</v>
      </c>
      <c r="E15" s="13">
        <v>3700.723</v>
      </c>
    </row>
    <row r="16" spans="1:5" ht="14.5">
      <c r="A16" s="11" t="s">
        <v>32</v>
      </c>
      <c r="B16" s="12" t="s">
        <v>40</v>
      </c>
      <c r="C16" s="13">
        <v>3400.654</v>
      </c>
      <c r="D16" s="13">
        <v>3725.4760000000001</v>
      </c>
      <c r="E16" s="13">
        <v>3750.652</v>
      </c>
    </row>
    <row r="18" spans="4:4" ht="14.5">
      <c r="D18" s="14" t="s">
        <v>41</v>
      </c>
    </row>
    <row r="19" spans="4:4" ht="14.5" customHeight="1"/>
    <row r="20" spans="4:4" ht="14.5"/>
    <row r="21" spans="4:4" ht="14.5"/>
    <row r="22" spans="4:4" ht="14.5"/>
    <row r="23" spans="4:4" ht="14.5"/>
    <row r="24" spans="4:4" ht="14.5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6:E6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D965"/>
  </sheetPr>
  <dimension ref="A6:E1007"/>
  <sheetViews>
    <sheetView workbookViewId="0">
      <selection activeCell="G8" sqref="G8"/>
    </sheetView>
  </sheetViews>
  <sheetFormatPr defaultColWidth="14.453125" defaultRowHeight="15" customHeight="1"/>
  <cols>
    <col min="1" max="1" width="14.7265625" customWidth="1"/>
    <col min="2" max="2" width="27.54296875" customWidth="1"/>
    <col min="3" max="5" width="14.7265625" customWidth="1"/>
    <col min="6" max="26" width="8.7265625" customWidth="1"/>
  </cols>
  <sheetData>
    <row r="6" spans="1:5" ht="15" customHeight="1" thickBot="1">
      <c r="A6" s="34" t="s">
        <v>95</v>
      </c>
      <c r="B6" s="34"/>
      <c r="C6" s="34"/>
      <c r="D6" s="34"/>
      <c r="E6" s="34"/>
    </row>
    <row r="7" spans="1:5" ht="15" customHeight="1" thickTop="1"/>
    <row r="8" spans="1:5" ht="14.5">
      <c r="A8" s="25" t="s">
        <v>5</v>
      </c>
      <c r="B8" s="25" t="s">
        <v>42</v>
      </c>
      <c r="C8" s="25" t="s">
        <v>8</v>
      </c>
      <c r="D8" s="25" t="s">
        <v>43</v>
      </c>
      <c r="E8" s="25" t="s">
        <v>7</v>
      </c>
    </row>
    <row r="9" spans="1:5" ht="14.5">
      <c r="A9" s="26" t="s">
        <v>44</v>
      </c>
      <c r="B9" s="27" t="s">
        <v>45</v>
      </c>
      <c r="C9" s="27">
        <v>99</v>
      </c>
      <c r="D9" s="28">
        <v>10</v>
      </c>
      <c r="E9" s="29"/>
    </row>
    <row r="10" spans="1:5" ht="14.5">
      <c r="A10" s="30" t="s">
        <v>44</v>
      </c>
      <c r="B10" s="31" t="s">
        <v>46</v>
      </c>
      <c r="C10" s="31">
        <v>61</v>
      </c>
      <c r="D10" s="32">
        <v>13</v>
      </c>
      <c r="E10" s="33"/>
    </row>
    <row r="11" spans="1:5" ht="14.5">
      <c r="A11" s="26" t="s">
        <v>44</v>
      </c>
      <c r="B11" s="27" t="s">
        <v>47</v>
      </c>
      <c r="C11" s="27">
        <v>28</v>
      </c>
      <c r="D11" s="28">
        <v>13.5</v>
      </c>
      <c r="E11" s="29"/>
    </row>
    <row r="12" spans="1:5" ht="14.5" customHeight="1">
      <c r="A12" s="30" t="s">
        <v>44</v>
      </c>
      <c r="B12" s="31" t="s">
        <v>48</v>
      </c>
      <c r="C12" s="31">
        <v>75</v>
      </c>
      <c r="D12" s="32">
        <v>11.2</v>
      </c>
      <c r="E12" s="33"/>
    </row>
    <row r="13" spans="1:5" ht="14.5">
      <c r="A13" s="26" t="s">
        <v>44</v>
      </c>
      <c r="B13" s="27" t="s">
        <v>48</v>
      </c>
      <c r="C13" s="27">
        <v>80</v>
      </c>
      <c r="D13" s="28">
        <v>11.2</v>
      </c>
      <c r="E13" s="29"/>
    </row>
    <row r="14" spans="1:5" ht="14.5">
      <c r="A14" s="30" t="s">
        <v>44</v>
      </c>
      <c r="B14" s="31" t="s">
        <v>48</v>
      </c>
      <c r="C14" s="31">
        <v>80</v>
      </c>
      <c r="D14" s="32">
        <v>11.2</v>
      </c>
      <c r="E14" s="33"/>
    </row>
    <row r="15" spans="1:5" ht="14.5">
      <c r="A15" s="27" t="s">
        <v>49</v>
      </c>
      <c r="B15" s="27" t="s">
        <v>45</v>
      </c>
      <c r="C15" s="27">
        <v>75</v>
      </c>
      <c r="D15" s="28">
        <v>11</v>
      </c>
      <c r="E15" s="29"/>
    </row>
    <row r="16" spans="1:5" ht="14.5">
      <c r="A16" s="31" t="s">
        <v>49</v>
      </c>
      <c r="B16" s="31" t="s">
        <v>46</v>
      </c>
      <c r="C16" s="31">
        <v>75</v>
      </c>
      <c r="D16" s="32">
        <v>12.65</v>
      </c>
      <c r="E16" s="33"/>
    </row>
    <row r="17" spans="1:5" ht="14.5">
      <c r="A17" s="27" t="s">
        <v>49</v>
      </c>
      <c r="B17" s="27" t="s">
        <v>46</v>
      </c>
      <c r="C17" s="27">
        <v>68</v>
      </c>
      <c r="D17" s="28">
        <v>12.65</v>
      </c>
      <c r="E17" s="29"/>
    </row>
    <row r="18" spans="1:5" ht="14.5">
      <c r="A18" s="31" t="s">
        <v>49</v>
      </c>
      <c r="B18" s="31" t="s">
        <v>47</v>
      </c>
      <c r="C18" s="31">
        <v>86</v>
      </c>
      <c r="D18" s="32">
        <v>10</v>
      </c>
      <c r="E18" s="33"/>
    </row>
    <row r="19" spans="1:5" ht="14.5">
      <c r="A19" s="27" t="s">
        <v>49</v>
      </c>
      <c r="B19" s="27" t="s">
        <v>48</v>
      </c>
      <c r="C19" s="27">
        <v>55</v>
      </c>
      <c r="D19" s="28">
        <v>12.55</v>
      </c>
      <c r="E19" s="29"/>
    </row>
    <row r="20" spans="1:5" ht="14.5">
      <c r="A20" s="31" t="s">
        <v>49</v>
      </c>
      <c r="B20" s="31" t="s">
        <v>48</v>
      </c>
      <c r="C20" s="31">
        <v>65</v>
      </c>
      <c r="D20" s="32">
        <v>12.55</v>
      </c>
      <c r="E20" s="33"/>
    </row>
    <row r="21" spans="1:5" ht="14.5">
      <c r="A21" s="27" t="s">
        <v>50</v>
      </c>
      <c r="B21" s="27" t="s">
        <v>45</v>
      </c>
      <c r="C21" s="27">
        <v>95</v>
      </c>
      <c r="D21" s="28">
        <v>10.55</v>
      </c>
      <c r="E21" s="29"/>
    </row>
    <row r="22" spans="1:5" ht="14.5">
      <c r="A22" s="31" t="s">
        <v>50</v>
      </c>
      <c r="B22" s="31" t="s">
        <v>46</v>
      </c>
      <c r="C22" s="31">
        <v>95</v>
      </c>
      <c r="D22" s="32">
        <v>10.55</v>
      </c>
      <c r="E22" s="33"/>
    </row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6:E6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EAADB"/>
  </sheetPr>
  <dimension ref="A7:I1008"/>
  <sheetViews>
    <sheetView topLeftCell="A3" workbookViewId="0">
      <selection activeCell="A9" sqref="A9:F25"/>
    </sheetView>
  </sheetViews>
  <sheetFormatPr defaultColWidth="14.453125" defaultRowHeight="15" customHeight="1"/>
  <cols>
    <col min="1" max="4" width="14.7265625" customWidth="1"/>
    <col min="5" max="5" width="16.54296875" customWidth="1"/>
    <col min="6" max="6" width="14.7265625" customWidth="1"/>
    <col min="7" max="26" width="8.7265625" customWidth="1"/>
  </cols>
  <sheetData>
    <row r="7" spans="1:6" ht="15" customHeight="1" thickBot="1">
      <c r="A7" s="34" t="s">
        <v>96</v>
      </c>
      <c r="B7" s="34"/>
      <c r="C7" s="34"/>
      <c r="D7" s="34"/>
      <c r="E7" s="34"/>
      <c r="F7" s="34"/>
    </row>
    <row r="8" spans="1:6" ht="15" customHeight="1" thickTop="1"/>
    <row r="9" spans="1:6" ht="14.5">
      <c r="A9" s="40" t="s">
        <v>51</v>
      </c>
      <c r="B9" s="15" t="s">
        <v>52</v>
      </c>
      <c r="C9" s="40" t="s">
        <v>53</v>
      </c>
      <c r="D9" s="41" t="s">
        <v>42</v>
      </c>
      <c r="E9" s="41" t="s">
        <v>54</v>
      </c>
      <c r="F9" s="40" t="s">
        <v>55</v>
      </c>
    </row>
    <row r="10" spans="1:6" ht="14.5">
      <c r="A10" s="42">
        <v>1</v>
      </c>
      <c r="B10" s="43" t="s">
        <v>56</v>
      </c>
      <c r="C10" s="42" t="s">
        <v>57</v>
      </c>
      <c r="D10" s="44" t="s">
        <v>58</v>
      </c>
      <c r="E10" s="44" t="s">
        <v>59</v>
      </c>
      <c r="F10" s="42">
        <v>1618.5</v>
      </c>
    </row>
    <row r="11" spans="1:6" ht="14.5">
      <c r="A11" s="45">
        <v>2</v>
      </c>
      <c r="B11" s="46" t="s">
        <v>56</v>
      </c>
      <c r="C11" s="45" t="s">
        <v>60</v>
      </c>
      <c r="D11" s="47" t="s">
        <v>58</v>
      </c>
      <c r="E11" s="47" t="s">
        <v>59</v>
      </c>
      <c r="F11" s="45">
        <v>1321</v>
      </c>
    </row>
    <row r="12" spans="1:6" ht="14.5">
      <c r="A12" s="42">
        <v>3</v>
      </c>
      <c r="B12" s="43" t="s">
        <v>61</v>
      </c>
      <c r="C12" s="42" t="s">
        <v>62</v>
      </c>
      <c r="D12" s="44" t="s">
        <v>58</v>
      </c>
      <c r="E12" s="44" t="s">
        <v>59</v>
      </c>
      <c r="F12" s="42">
        <v>2178</v>
      </c>
    </row>
    <row r="13" spans="1:6" ht="14.5">
      <c r="A13" s="45">
        <v>4</v>
      </c>
      <c r="B13" s="46" t="s">
        <v>61</v>
      </c>
      <c r="C13" s="45" t="s">
        <v>60</v>
      </c>
      <c r="D13" s="47" t="s">
        <v>58</v>
      </c>
      <c r="E13" s="47" t="s">
        <v>59</v>
      </c>
      <c r="F13" s="45">
        <v>888</v>
      </c>
    </row>
    <row r="14" spans="1:6" ht="14.5">
      <c r="A14" s="42">
        <v>5</v>
      </c>
      <c r="B14" s="43" t="s">
        <v>61</v>
      </c>
      <c r="C14" s="42" t="s">
        <v>63</v>
      </c>
      <c r="D14" s="44" t="s">
        <v>58</v>
      </c>
      <c r="E14" s="44" t="s">
        <v>59</v>
      </c>
      <c r="F14" s="42">
        <v>2470</v>
      </c>
    </row>
    <row r="15" spans="1:6" ht="14.5">
      <c r="A15" s="45">
        <v>6</v>
      </c>
      <c r="B15" s="46" t="s">
        <v>56</v>
      </c>
      <c r="C15" s="45" t="s">
        <v>60</v>
      </c>
      <c r="D15" s="47" t="s">
        <v>58</v>
      </c>
      <c r="E15" s="47" t="s">
        <v>59</v>
      </c>
      <c r="F15" s="45">
        <v>1513</v>
      </c>
    </row>
    <row r="16" spans="1:6" ht="14.5">
      <c r="A16" s="42">
        <v>7</v>
      </c>
      <c r="B16" s="43" t="s">
        <v>61</v>
      </c>
      <c r="C16" s="42" t="s">
        <v>60</v>
      </c>
      <c r="D16" s="44" t="s">
        <v>64</v>
      </c>
      <c r="E16" s="44" t="s">
        <v>59</v>
      </c>
      <c r="F16" s="42">
        <v>921</v>
      </c>
    </row>
    <row r="17" spans="1:9" ht="14.5">
      <c r="A17" s="45">
        <v>8</v>
      </c>
      <c r="B17" s="46" t="s">
        <v>65</v>
      </c>
      <c r="C17" s="45" t="s">
        <v>57</v>
      </c>
      <c r="D17" s="47" t="s">
        <v>64</v>
      </c>
      <c r="E17" s="47" t="s">
        <v>59</v>
      </c>
      <c r="F17" s="45">
        <v>2518</v>
      </c>
    </row>
    <row r="18" spans="1:9" ht="14.5">
      <c r="A18" s="42">
        <v>9</v>
      </c>
      <c r="B18" s="43" t="s">
        <v>56</v>
      </c>
      <c r="C18" s="42" t="s">
        <v>62</v>
      </c>
      <c r="D18" s="44" t="s">
        <v>64</v>
      </c>
      <c r="E18" s="44" t="s">
        <v>59</v>
      </c>
      <c r="F18" s="42">
        <v>1899</v>
      </c>
    </row>
    <row r="19" spans="1:9" ht="14.5">
      <c r="A19" s="45">
        <v>10</v>
      </c>
      <c r="B19" s="46" t="s">
        <v>65</v>
      </c>
      <c r="C19" s="45" t="s">
        <v>60</v>
      </c>
      <c r="D19" s="47" t="s">
        <v>64</v>
      </c>
      <c r="E19" s="47" t="s">
        <v>59</v>
      </c>
      <c r="F19" s="45">
        <v>1545</v>
      </c>
    </row>
    <row r="20" spans="1:9" ht="14.5">
      <c r="A20" s="42">
        <v>11</v>
      </c>
      <c r="B20" s="43" t="s">
        <v>61</v>
      </c>
      <c r="C20" s="42" t="s">
        <v>63</v>
      </c>
      <c r="D20" s="44" t="s">
        <v>64</v>
      </c>
      <c r="E20" s="44" t="s">
        <v>59</v>
      </c>
      <c r="F20" s="42">
        <v>2470</v>
      </c>
    </row>
    <row r="21" spans="1:9" ht="14.5" customHeight="1">
      <c r="A21" s="45">
        <v>12</v>
      </c>
      <c r="B21" s="46" t="s">
        <v>66</v>
      </c>
      <c r="C21" s="45" t="s">
        <v>57</v>
      </c>
      <c r="D21" s="47" t="s">
        <v>64</v>
      </c>
      <c r="E21" s="47" t="s">
        <v>59</v>
      </c>
      <c r="F21" s="45">
        <v>2665.5</v>
      </c>
    </row>
    <row r="22" spans="1:9" ht="14.5">
      <c r="A22" s="42">
        <v>13</v>
      </c>
      <c r="B22" s="43" t="s">
        <v>67</v>
      </c>
      <c r="C22" s="42" t="s">
        <v>63</v>
      </c>
      <c r="D22" s="44" t="s">
        <v>64</v>
      </c>
      <c r="E22" s="44" t="s">
        <v>59</v>
      </c>
      <c r="F22" s="42">
        <v>958</v>
      </c>
    </row>
    <row r="23" spans="1:9" ht="14.5">
      <c r="A23" s="45">
        <v>14</v>
      </c>
      <c r="B23" s="46" t="s">
        <v>56</v>
      </c>
      <c r="C23" s="45" t="s">
        <v>60</v>
      </c>
      <c r="D23" s="47" t="s">
        <v>64</v>
      </c>
      <c r="E23" s="47" t="s">
        <v>59</v>
      </c>
      <c r="F23" s="45">
        <v>2146</v>
      </c>
    </row>
    <row r="24" spans="1:9" ht="14.5">
      <c r="A24" s="42">
        <v>15</v>
      </c>
      <c r="B24" s="43" t="s">
        <v>66</v>
      </c>
      <c r="C24" s="42" t="s">
        <v>57</v>
      </c>
      <c r="D24" s="44" t="s">
        <v>64</v>
      </c>
      <c r="E24" s="44" t="s">
        <v>59</v>
      </c>
      <c r="F24" s="42">
        <v>345</v>
      </c>
    </row>
    <row r="25" spans="1:9" ht="14.5">
      <c r="A25" s="45">
        <v>16</v>
      </c>
      <c r="B25" s="46" t="s">
        <v>61</v>
      </c>
      <c r="C25" s="45" t="s">
        <v>68</v>
      </c>
      <c r="D25" s="47" t="s">
        <v>64</v>
      </c>
      <c r="E25" s="47" t="s">
        <v>59</v>
      </c>
      <c r="F25" s="45">
        <v>615</v>
      </c>
      <c r="I25" s="14" t="s">
        <v>69</v>
      </c>
    </row>
    <row r="26" spans="1:9" ht="18.5">
      <c r="A26" s="48" t="s">
        <v>70</v>
      </c>
      <c r="B26" s="43"/>
      <c r="C26" s="42"/>
      <c r="D26" s="44"/>
      <c r="E26" s="44"/>
      <c r="F26" s="49">
        <f>SUM(F10:F25)</f>
        <v>26071</v>
      </c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7:F7"/>
  </mergeCells>
  <conditionalFormatting sqref="F10:F25">
    <cfRule type="cellIs" dxfId="21" priority="1" operator="greaterThan">
      <formula>2000</formula>
    </cfRule>
  </conditionalFormatting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8D08D"/>
  </sheetPr>
  <dimension ref="A10:F1005"/>
  <sheetViews>
    <sheetView workbookViewId="0">
      <selection activeCell="A12" sqref="A12:F17"/>
    </sheetView>
  </sheetViews>
  <sheetFormatPr defaultColWidth="14.453125" defaultRowHeight="15" customHeight="1"/>
  <cols>
    <col min="1" max="1" width="15.08984375" customWidth="1"/>
    <col min="2" max="6" width="14.7265625" customWidth="1"/>
    <col min="7" max="26" width="8.7265625" customWidth="1"/>
  </cols>
  <sheetData>
    <row r="10" spans="1:6" ht="17.5" thickBot="1">
      <c r="A10" s="38" t="s">
        <v>71</v>
      </c>
      <c r="B10" s="39"/>
      <c r="C10" s="39"/>
      <c r="D10" s="39"/>
      <c r="E10" s="39"/>
      <c r="F10" s="39"/>
    </row>
    <row r="11" spans="1:6" ht="15" customHeight="1" thickTop="1"/>
    <row r="12" spans="1:6" ht="14.5">
      <c r="A12" s="52" t="s">
        <v>72</v>
      </c>
      <c r="B12" s="53" t="s">
        <v>73</v>
      </c>
      <c r="C12" s="53" t="s">
        <v>74</v>
      </c>
      <c r="D12" s="53" t="s">
        <v>75</v>
      </c>
      <c r="E12" s="53" t="s">
        <v>76</v>
      </c>
      <c r="F12" s="54" t="s">
        <v>77</v>
      </c>
    </row>
    <row r="13" spans="1:6" ht="14.5">
      <c r="A13" s="50" t="s">
        <v>78</v>
      </c>
      <c r="B13" s="16">
        <v>4520</v>
      </c>
      <c r="C13" s="16">
        <v>3620</v>
      </c>
      <c r="D13" s="16">
        <v>2560</v>
      </c>
      <c r="E13" s="16">
        <v>2750</v>
      </c>
      <c r="F13" s="51">
        <f t="shared" ref="F13:F17" si="0">SUM(B13:E13)</f>
        <v>13450</v>
      </c>
    </row>
    <row r="14" spans="1:6" ht="14.5">
      <c r="A14" s="50" t="s">
        <v>79</v>
      </c>
      <c r="B14" s="16">
        <v>3220</v>
      </c>
      <c r="C14" s="16">
        <v>5230</v>
      </c>
      <c r="D14" s="16">
        <v>4550</v>
      </c>
      <c r="E14" s="16">
        <v>5400</v>
      </c>
      <c r="F14" s="51">
        <f t="shared" si="0"/>
        <v>18400</v>
      </c>
    </row>
    <row r="15" spans="1:6" ht="14.5">
      <c r="A15" s="50" t="s">
        <v>80</v>
      </c>
      <c r="B15" s="16">
        <v>4560</v>
      </c>
      <c r="C15" s="16">
        <v>2320</v>
      </c>
      <c r="D15" s="16">
        <v>3220</v>
      </c>
      <c r="E15" s="16">
        <v>2320</v>
      </c>
      <c r="F15" s="51">
        <f t="shared" si="0"/>
        <v>12420</v>
      </c>
    </row>
    <row r="16" spans="1:6" ht="14.5">
      <c r="A16" s="50" t="s">
        <v>81</v>
      </c>
      <c r="B16" s="16">
        <v>5600</v>
      </c>
      <c r="C16" s="16">
        <v>6510</v>
      </c>
      <c r="D16" s="16">
        <v>5660</v>
      </c>
      <c r="E16" s="16">
        <v>4500</v>
      </c>
      <c r="F16" s="51">
        <f t="shared" si="0"/>
        <v>22270</v>
      </c>
    </row>
    <row r="17" spans="1:6" ht="14.5">
      <c r="A17" s="55" t="s">
        <v>82</v>
      </c>
      <c r="B17" s="56">
        <v>2330</v>
      </c>
      <c r="C17" s="56">
        <v>4520</v>
      </c>
      <c r="D17" s="56">
        <v>5500</v>
      </c>
      <c r="E17" s="56">
        <v>4510</v>
      </c>
      <c r="F17" s="57">
        <f t="shared" si="0"/>
        <v>16860</v>
      </c>
    </row>
    <row r="18" spans="1:6" ht="14.5" customHeight="1"/>
    <row r="19" spans="1:6" ht="14.5"/>
    <row r="20" spans="1:6" ht="14.5"/>
    <row r="21" spans="1:6" ht="14.5"/>
    <row r="22" spans="1:6" ht="14.5"/>
    <row r="23" spans="1:6" ht="14.5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0:F10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CC2E5"/>
  </sheetPr>
  <dimension ref="A7:C1006"/>
  <sheetViews>
    <sheetView tabSelected="1" workbookViewId="0">
      <selection activeCell="C17" sqref="C17"/>
    </sheetView>
  </sheetViews>
  <sheetFormatPr defaultColWidth="14.453125" defaultRowHeight="15" customHeight="1"/>
  <cols>
    <col min="1" max="3" width="20.7265625" customWidth="1"/>
    <col min="4" max="4" width="18.7265625" customWidth="1"/>
    <col min="5" max="26" width="8.7265625" customWidth="1"/>
  </cols>
  <sheetData>
    <row r="7" spans="1:3" ht="31.5" customHeight="1">
      <c r="A7" s="17" t="s">
        <v>83</v>
      </c>
      <c r="B7" s="18"/>
      <c r="C7" s="19"/>
    </row>
    <row r="8" spans="1:3" ht="18" customHeight="1"/>
    <row r="9" spans="1:3" ht="18" customHeight="1">
      <c r="A9" s="62" t="s">
        <v>84</v>
      </c>
      <c r="B9" s="63" t="s">
        <v>85</v>
      </c>
    </row>
    <row r="10" spans="1:3" ht="18" customHeight="1">
      <c r="A10" s="58" t="s">
        <v>86</v>
      </c>
      <c r="B10" s="60"/>
    </row>
    <row r="11" spans="1:3" ht="18" customHeight="1">
      <c r="A11" s="59" t="s">
        <v>87</v>
      </c>
      <c r="B11" s="61"/>
    </row>
    <row r="12" spans="1:3" ht="18" customHeight="1">
      <c r="A12" s="59" t="s">
        <v>88</v>
      </c>
      <c r="B12" s="61"/>
    </row>
    <row r="13" spans="1:3" ht="18" customHeight="1">
      <c r="A13" s="59" t="s">
        <v>89</v>
      </c>
      <c r="B13" s="61"/>
    </row>
    <row r="14" spans="1:3" ht="18" customHeight="1">
      <c r="A14" s="64" t="s">
        <v>90</v>
      </c>
      <c r="B14" s="65"/>
    </row>
    <row r="15" spans="1:3" ht="14.5"/>
    <row r="16" spans="1:3" ht="14.5"/>
    <row r="17" spans="3:3" ht="14.5">
      <c r="C17" s="20"/>
    </row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Sales</vt:lpstr>
      <vt:lpstr>Division</vt:lpstr>
      <vt:lpstr>Product</vt:lpstr>
      <vt:lpstr>Segment</vt:lpstr>
      <vt:lpstr>Weekly</vt:lpstr>
      <vt:lpstr>Circulation</vt:lpstr>
      <vt:lpstr>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2015-06-05T18:17:20Z</dcterms:created>
  <dcterms:modified xsi:type="dcterms:W3CDTF">2025-05-14T08:13:57Z</dcterms:modified>
</cp:coreProperties>
</file>