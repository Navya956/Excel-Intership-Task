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8_{6AC3E6E6-7DF4-4FF3-8A53-34A338CFEE1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duct" sheetId="1" r:id="rId1"/>
    <sheet name="sales person" sheetId="2" r:id="rId2"/>
    <sheet name="Division" sheetId="3" r:id="rId3"/>
    <sheet name="Circulation summary" sheetId="4" r:id="rId4"/>
    <sheet name="New Hires" sheetId="5" r:id="rId5"/>
    <sheet name="Total" sheetId="6" r:id="rId6"/>
    <sheet name="Sales" sheetId="7" r:id="rId7"/>
  </sheets>
  <definedNames>
    <definedName name="_xlnm._FilterDatabase" localSheetId="0" hidden="1">Product!$A$8:$E$30</definedName>
    <definedName name="Circulation">'Circulation summary'!$A$11:$B$15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7" l="1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F15" i="6"/>
  <c r="F14" i="6"/>
  <c r="F13" i="6"/>
  <c r="F12" i="6"/>
  <c r="F11" i="6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<sst xmlns="http://schemas.openxmlformats.org/spreadsheetml/2006/main" count="272" uniqueCount="85">
  <si>
    <t>PRODUCT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</si>
  <si>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</si>
  <si>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</si>
  <si>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</si>
  <si>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</si>
  <si>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</si>
  <si>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</si>
  <si>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</si>
  <si>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</si>
  <si>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</si>
  <si>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</si>
  <si>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</si>
  <si>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</si>
  <si>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</si>
  <si>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SALES PERSON</t>
  </si>
  <si>
    <t>DIVISION</t>
  </si>
  <si>
    <t>Division</t>
  </si>
  <si>
    <t>Category</t>
  </si>
  <si>
    <t>Jan</t>
  </si>
  <si>
    <t>Feb</t>
  </si>
  <si>
    <t>Mar</t>
  </si>
  <si>
    <t>Total Sales</t>
  </si>
  <si>
    <t>Bonus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</si>
  <si>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</si>
  <si>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</si>
  <si>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</si>
  <si>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</si>
  <si>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</si>
  <si>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</si>
  <si>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</si>
  <si>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</si>
  <si>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</si>
  <si>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</si>
  <si>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</si>
  <si>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</si>
  <si>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</si>
  <si>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</si>
  <si>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</si>
  <si>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North</t>
  </si>
  <si>
    <t>Circulation Results 2015</t>
  </si>
  <si>
    <t>Town</t>
  </si>
  <si>
    <t>Circulation</t>
  </si>
  <si>
    <t>Beverly</t>
  </si>
  <si>
    <t>Cherrydale</t>
  </si>
  <si>
    <t>Jamestown</t>
  </si>
  <si>
    <t>Larksburg</t>
  </si>
  <si>
    <t>Washerville</t>
  </si>
  <si>
    <t>s</t>
  </si>
  <si>
    <t>NEW HIRES</t>
  </si>
  <si>
    <t>Name</t>
  </si>
  <si>
    <t>Hire Date</t>
  </si>
  <si>
    <t>Given HMO Packet</t>
  </si>
  <si>
    <t>HMO Pkt turned in</t>
  </si>
  <si>
    <t>Intro Meeting</t>
  </si>
  <si>
    <t>Phone Assigned</t>
  </si>
  <si>
    <t>Room No.</t>
  </si>
  <si>
    <t>Harrison, Susan</t>
  </si>
  <si>
    <t>y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</si>
  <si>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</si>
  <si>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</si>
  <si>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</si>
  <si>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</si>
  <si>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</si>
  <si>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</si>
  <si>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</si>
  <si>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Metre, Marge</t>
  </si>
  <si>
    <t>Lucas, Karen</t>
  </si>
  <si>
    <t>n</t>
  </si>
  <si>
    <t>Matheson, Kim</t>
  </si>
  <si>
    <t>Thomas, Jim</t>
  </si>
  <si>
    <t>Rogers, Paul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</si>
  <si>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</si>
  <si>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</si>
  <si>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</si>
  <si>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</si>
  <si>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</si>
  <si>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</si>
  <si>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</si>
  <si>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</si>
  <si>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</si>
  <si>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</si>
  <si>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</si>
  <si>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</si>
  <si>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SALES</t>
  </si>
  <si>
    <t>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</si>
</sst>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6" formatCode="&quot;$&quot;#,##0.00_);[Red]\(&quot;$&quot;#,##0.00\)"/>
    <numFmt numFmtId="167" formatCode="_(&quot;$&quot;* #,##0_);_(&quot;$&quot;* \(#,##0\);_(&quot;$&quot;* &quot;-&quot;??_);_(@_)"/>
    <numFmt numFmtId="168" formatCode="_(&quot;$&quot;* #,##0.00_);_(&quot;$&quot;* \(#,##0.00\);_(&quot;$&quot;* &quot;-&quot;??_);_(@_)"/>
    <numFmt numFmtId="169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1"/>
      <name val="Open Sans"/>
      <charset val="134"/>
    </font>
    <font>
      <sz val="10"/>
      <color theme="1"/>
      <name val="Arial"/>
      <charset val="134"/>
    </font>
    <font>
      <b/>
      <sz val="12"/>
      <color theme="1"/>
      <name val="Calibri"/>
      <charset val="134"/>
    </font>
    <font>
      <sz val="11"/>
      <name val="Calibri"/>
      <charset val="134"/>
    </font>
    <font>
      <b/>
      <sz val="11"/>
      <color theme="0"/>
      <name val="Arial"/>
      <charset val="134"/>
    </font>
    <font>
      <b/>
      <i/>
      <sz val="11"/>
      <color rgb="FFFFFFFF"/>
      <name val="Arial"/>
      <charset val="134"/>
    </font>
    <font>
      <sz val="11"/>
      <color theme="1"/>
      <name val="Calibri"/>
      <charset val="134"/>
    </font>
    <font>
      <sz val="10"/>
      <color theme="0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8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4B083"/>
        <bgColor rgb="FFF4B083"/>
      </patternFill>
    </fill>
    <fill>
      <patternFill patternType="solid">
        <fgColor rgb="FF808080"/>
        <bgColor rgb="FF80808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rgb="FF000000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3"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166" fontId="4" fillId="0" borderId="0" xfId="0" applyNumberFormat="1" applyFont="1"/>
    <xf numFmtId="166" fontId="4" fillId="0" borderId="0" xfId="0" applyNumberFormat="1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right"/>
    </xf>
    <xf numFmtId="167" fontId="9" fillId="0" borderId="7" xfId="0" applyNumberFormat="1" applyFont="1" applyBorder="1" applyAlignment="1">
      <alignment horizontal="center"/>
    </xf>
    <xf numFmtId="167" fontId="9" fillId="0" borderId="8" xfId="0" applyNumberFormat="1" applyFont="1" applyBorder="1" applyAlignment="1">
      <alignment horizontal="center"/>
    </xf>
    <xf numFmtId="167" fontId="9" fillId="0" borderId="7" xfId="0" applyNumberFormat="1" applyFont="1" applyBorder="1"/>
    <xf numFmtId="167" fontId="9" fillId="0" borderId="5" xfId="0" applyNumberFormat="1" applyFont="1" applyBorder="1" applyAlignment="1">
      <alignment horizontal="center"/>
    </xf>
    <xf numFmtId="167" fontId="9" fillId="0" borderId="9" xfId="0" applyNumberFormat="1" applyFont="1" applyBorder="1" applyAlignment="1">
      <alignment horizontal="center"/>
    </xf>
    <xf numFmtId="167" fontId="9" fillId="0" borderId="5" xfId="0" applyNumberFormat="1" applyFont="1" applyBorder="1"/>
    <xf numFmtId="0" fontId="8" fillId="4" borderId="10" xfId="0" applyFont="1" applyFill="1" applyBorder="1" applyAlignment="1">
      <alignment horizontal="right"/>
    </xf>
    <xf numFmtId="0" fontId="10" fillId="2" borderId="2" xfId="0" applyFont="1" applyFill="1" applyBorder="1"/>
    <xf numFmtId="14" fontId="9" fillId="0" borderId="0" xfId="0" applyNumberFormat="1" applyFont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/>
    <xf numFmtId="0" fontId="11" fillId="0" borderId="3" xfId="0" applyFont="1" applyBorder="1"/>
    <xf numFmtId="38" fontId="9" fillId="0" borderId="13" xfId="0" applyNumberFormat="1" applyFont="1" applyBorder="1"/>
    <xf numFmtId="0" fontId="11" fillId="0" borderId="6" xfId="0" applyFont="1" applyBorder="1"/>
    <xf numFmtId="0" fontId="11" fillId="0" borderId="10" xfId="0" applyFont="1" applyBorder="1"/>
    <xf numFmtId="38" fontId="9" fillId="0" borderId="7" xfId="0" applyNumberFormat="1" applyFont="1" applyBorder="1"/>
    <xf numFmtId="0" fontId="7" fillId="5" borderId="14" xfId="0" applyFont="1" applyFill="1" applyBorder="1"/>
    <xf numFmtId="0" fontId="7" fillId="5" borderId="0" xfId="0" applyFont="1" applyFill="1"/>
    <xf numFmtId="0" fontId="7" fillId="5" borderId="15" xfId="0" applyFont="1" applyFill="1" applyBorder="1"/>
    <xf numFmtId="168" fontId="12" fillId="6" borderId="16" xfId="0" applyNumberFormat="1" applyFont="1" applyFill="1" applyBorder="1" applyAlignment="1">
      <alignment horizontal="left"/>
    </xf>
    <xf numFmtId="169" fontId="12" fillId="6" borderId="17" xfId="0" applyNumberFormat="1" applyFont="1" applyFill="1" applyBorder="1" applyAlignment="1">
      <alignment horizontal="left"/>
    </xf>
    <xf numFmtId="168" fontId="13" fillId="6" borderId="17" xfId="0" applyNumberFormat="1" applyFont="1" applyFill="1" applyBorder="1"/>
    <xf numFmtId="0" fontId="9" fillId="6" borderId="8" xfId="0" applyFont="1" applyFill="1" applyBorder="1"/>
    <xf numFmtId="168" fontId="12" fillId="6" borderId="18" xfId="0" applyNumberFormat="1" applyFont="1" applyFill="1" applyBorder="1" applyAlignment="1">
      <alignment horizontal="left"/>
    </xf>
    <xf numFmtId="169" fontId="12" fillId="6" borderId="19" xfId="0" applyNumberFormat="1" applyFont="1" applyFill="1" applyBorder="1" applyAlignment="1">
      <alignment horizontal="left"/>
    </xf>
    <xf numFmtId="168" fontId="13" fillId="6" borderId="19" xfId="0" applyNumberFormat="1" applyFont="1" applyFill="1" applyBorder="1"/>
    <xf numFmtId="169" fontId="12" fillId="6" borderId="18" xfId="0" applyNumberFormat="1" applyFont="1" applyFill="1" applyBorder="1" applyAlignment="1">
      <alignment horizontal="left"/>
    </xf>
    <xf numFmtId="169" fontId="12" fillId="6" borderId="20" xfId="0" applyNumberFormat="1" applyFont="1" applyFill="1" applyBorder="1" applyAlignment="1">
      <alignment horizontal="left"/>
    </xf>
    <xf numFmtId="169" fontId="12" fillId="6" borderId="21" xfId="0" applyNumberFormat="1" applyFont="1" applyFill="1" applyBorder="1" applyAlignment="1">
      <alignment horizontal="left"/>
    </xf>
    <xf numFmtId="168" fontId="13" fillId="6" borderId="21" xfId="0" applyNumberFormat="1" applyFont="1" applyFill="1" applyBorder="1"/>
    <xf numFmtId="0" fontId="9" fillId="6" borderId="22" xfId="0" applyFont="1" applyFill="1" applyBorder="1"/>
    <xf numFmtId="169" fontId="12" fillId="6" borderId="23" xfId="0" applyNumberFormat="1" applyFont="1" applyFill="1" applyBorder="1" applyAlignment="1">
      <alignment horizontal="left"/>
    </xf>
    <xf numFmtId="169" fontId="12" fillId="6" borderId="0" xfId="0" applyNumberFormat="1" applyFont="1" applyFill="1" applyAlignment="1">
      <alignment horizontal="left"/>
    </xf>
    <xf numFmtId="168" fontId="13" fillId="6" borderId="0" xfId="0" applyNumberFormat="1" applyFont="1" applyFill="1"/>
    <xf numFmtId="0" fontId="2" fillId="7" borderId="2" xfId="0" applyFont="1" applyFill="1" applyBorder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166" fontId="4" fillId="6" borderId="0" xfId="0" applyNumberFormat="1" applyFont="1" applyFill="1"/>
    <xf numFmtId="166" fontId="4" fillId="6" borderId="0" xfId="0" applyNumberFormat="1" applyFont="1" applyFill="1" applyAlignment="1">
      <alignment horizontal="right"/>
    </xf>
    <xf numFmtId="0" fontId="1" fillId="0" borderId="1" xfId="1" applyAlignment="1">
      <alignment horizontal="center"/>
    </xf>
    <xf numFmtId="0" fontId="1" fillId="0" borderId="1" xfId="1" applyAlignment="1"/>
    <xf numFmtId="0" fontId="5" fillId="3" borderId="0" xfId="0" applyFont="1" applyFill="1" applyAlignment="1">
      <alignment horizontal="center"/>
    </xf>
    <xf numFmtId="0" fontId="6" fillId="0" borderId="0" xfId="0" applyFont="1"/>
  </cellXfs>
  <cellStyles count="2">
    <cellStyle name="Heading 2" xfId="1" builtinId="17"/>
    <cellStyle name="Normal" xfId="0" builtinId="0"/>
  </cellStyles>
  <dxfs count="40"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  <alignment horizontal="right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&quot;$&quot;* #,##0_);_(&quot;$&quot;* \(#,##0\);_(&quot;$&quot;* &quot;-&quot;??_);_(@_)"/>
      <border>
        <left style="thin">
          <color rgb="FF000000"/>
        </left>
        <right/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&quot;$&quot;* #,##0_);_(&quot;$&quot;* \(#,##0\);_(&quot;$&quot;* &quot;-&quot;??_);_(@_)"/>
      <alignment horizontal="center"/>
      <border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&quot;$&quot;* #,##0_);_(&quot;$&quot;* \(#,##0\);_(&quot;$&quot;* &quot;-&quot;??_);_(@_)"/>
      <alignment horizontal="center"/>
      <border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&quot;$&quot;* #,##0_);_(&quot;$&quot;* \(#,##0\);_(&quot;$&quot;* &quot;-&quot;??_);_(@_)"/>
      <alignment horizontal="center"/>
      <border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(&quot;$&quot;* #,##0_);_(&quot;$&quot;* \(#,##0\);_(&quot;$&quot;* &quot;-&quot;??_);_(@_)"/>
      <alignment horizontal="center"/>
      <border>
        <left style="thin">
          <color rgb="FF000000"/>
        </left>
        <right/>
        <top/>
        <bottom/>
      </border>
    </dxf>
    <dxf>
      <font>
        <b/>
        <i/>
        <strike val="0"/>
        <u val="none"/>
        <sz val="11"/>
        <color rgb="FFFFFFFF"/>
        <name val="Arial"/>
        <scheme val="none"/>
      </font>
      <fill>
        <patternFill patternType="solid">
          <fgColor rgb="FF808080"/>
          <bgColor rgb="FF808080"/>
        </patternFill>
      </fill>
      <alignment horizontal="right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6" formatCode="#,##0;[Red]\-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0"/>
        <color theme="1"/>
        <name val="Arial"/>
        <scheme val="none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0"/>
        <color rgb="FF000080"/>
        <name val="Arial"/>
        <scheme val="none"/>
      </font>
      <numFmt numFmtId="168" formatCode="_(&quot;$&quot;* #,##0.00_);_(&quot;$&quot;* \(#,##0.00\);_(&quot;$&quot;* &quot;-&quot;??_);_(@_)"/>
      <fill>
        <patternFill patternType="solid">
          <fgColor rgb="FFD9E2F3"/>
          <bgColor rgb="FFD9E2F3"/>
        </patternFill>
      </fill>
      <border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u val="none"/>
        <sz val="10"/>
        <color rgb="FF000080"/>
        <name val="Arial"/>
        <scheme val="none"/>
      </font>
      <numFmt numFmtId="168" formatCode="_(&quot;$&quot;* #,##0.00_);_(&quot;$&quot;* \(#,##0.00\);_(&quot;$&quot;* &quot;-&quot;??_);_(@_)"/>
      <fill>
        <patternFill patternType="solid">
          <fgColor rgb="FFD9E2F3"/>
          <bgColor rgb="FFD9E2F3"/>
        </patternFill>
      </fill>
      <border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u val="none"/>
        <sz val="10"/>
        <color rgb="FF000080"/>
        <name val="Arial"/>
        <scheme val="none"/>
      </font>
      <numFmt numFmtId="168" formatCode="_(&quot;$&quot;* #,##0.00_);_(&quot;$&quot;* \(#,##0.00\);_(&quot;$&quot;* &quot;-&quot;??_);_(@_)"/>
      <fill>
        <patternFill patternType="solid">
          <fgColor rgb="FFD9E2F3"/>
          <bgColor rgb="FFD9E2F3"/>
        </patternFill>
      </fill>
      <border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u val="none"/>
        <sz val="10"/>
        <color rgb="FF000080"/>
        <name val="Arial"/>
        <scheme val="none"/>
      </font>
      <numFmt numFmtId="168" formatCode="_(&quot;$&quot;* #,##0.00_);_(&quot;$&quot;* \(#,##0.00\);_(&quot;$&quot;* &quot;-&quot;??_);_(@_)"/>
      <fill>
        <patternFill patternType="solid">
          <fgColor rgb="FFD9E2F3"/>
          <bgColor rgb="FFD9E2F3"/>
        </patternFill>
      </fill>
      <border>
        <left/>
        <right/>
        <top style="thin">
          <color theme="4"/>
        </top>
        <bottom style="thin">
          <color theme="4"/>
        </bottom>
      </border>
    </dxf>
    <dxf>
      <font>
        <b/>
        <i val="0"/>
        <strike val="0"/>
        <u val="none"/>
        <sz val="10"/>
        <color rgb="FF000000"/>
        <name val="Arial"/>
        <scheme val="none"/>
      </font>
      <numFmt numFmtId="169" formatCode="_(* #,##0.00_);_(* \(#,##0.00\);_(* &quot;-&quot;??_);_(@_)"/>
      <fill>
        <patternFill patternType="solid">
          <fgColor rgb="FFD9E2F3"/>
          <bgColor rgb="FFD9E2F3"/>
        </patternFill>
      </fill>
      <alignment horizontal="left"/>
      <border>
        <left/>
        <right/>
        <top style="thin">
          <color theme="4"/>
        </top>
        <bottom style="thin">
          <color theme="4"/>
        </bottom>
      </border>
    </dxf>
    <dxf>
      <font>
        <b/>
        <i val="0"/>
        <strike val="0"/>
        <u val="none"/>
        <sz val="10"/>
        <color rgb="FF000000"/>
        <name val="Arial"/>
        <scheme val="none"/>
      </font>
      <numFmt numFmtId="169" formatCode="_(* #,##0.00_);_(* \(#,##0.00\);_(* &quot;-&quot;??_);_(@_)"/>
      <fill>
        <patternFill patternType="solid">
          <fgColor rgb="FFD9E2F3"/>
          <bgColor rgb="FFD9E2F3"/>
        </patternFill>
      </fill>
      <alignment horizontal="left"/>
      <border>
        <left style="medium">
          <color rgb="FF000000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  <alignment horizontal="right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  <fill>
        <patternFill patternType="solid">
          <fgColor rgb="FFD9E2F3"/>
          <bgColor rgb="FFD9E2F3"/>
        </patternFill>
      </fill>
      <alignment horizontal="right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&quot;$&quot;#,##0.00_);[Red]\(&quot;$&quot;#,##0.00\)"/>
      <fill>
        <patternFill patternType="solid">
          <fgColor rgb="FFD9E2F3"/>
          <bgColor rgb="FFD9E2F3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D9E2F3"/>
          <bgColor rgb="FFD9E2F3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D9E2F3"/>
          <bgColor rgb="FFD9E2F3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ivision-style" pivot="0" count="3" xr9:uid="{536A832A-3853-45D1-A874-918812CEC411}">
      <tableStyleElement type="headerRow" dxfId="39"/>
      <tableStyleElement type="firstRowStripe" dxfId="38"/>
      <tableStyleElement type="secondRow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Total!$F$10</c:f>
              <c:strCache>
                <c:ptCount val="1"/>
                <c:pt idx="0">
                  <c:v>Totals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432-45C0-BE1F-7626A95A26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32-45C0-BE1F-7626A95A26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432-45C0-BE1F-7626A95A26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32-45C0-BE1F-7626A95A26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432-45C0-BE1F-7626A95A261D}"/>
              </c:ext>
            </c:extLst>
          </c:dPt>
          <c:cat>
            <c:strRef>
              <c:f>Total!$A$11:$A$15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Total!$F$11:$F$15</c:f>
              <c:numCache>
                <c:formatCode>_("$"* #,##0_);_("$"* \(#,##0\);_("$"* "-"??_);_(@_)</c:formatCode>
                <c:ptCount val="5"/>
                <c:pt idx="0">
                  <c:v>13450</c:v>
                </c:pt>
                <c:pt idx="1">
                  <c:v>18400</c:v>
                </c:pt>
                <c:pt idx="2">
                  <c:v>12420</c:v>
                </c:pt>
                <c:pt idx="3">
                  <c:v>22270</c:v>
                </c:pt>
                <c:pt idx="4">
                  <c:v>16860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32-45C0-BE1F-7626A95A2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c8f0e6-ec18-4ba7-8352-a53386fd9e4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1</xdr:row>
      <xdr:rowOff>25400</xdr:rowOff>
    </xdr:from>
    <xdr:ext cx="666750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50" y="215900"/>
          <a:ext cx="666750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1 :</a:t>
          </a:r>
        </a:p>
        <a:p>
          <a:r>
            <a:rPr lang="en-US" sz="1400" b="1"/>
            <a:t>On the"products" worksheet,filter the data to display the products "vanila" only. ?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19050</xdr:rowOff>
    </xdr:from>
    <xdr:ext cx="10075963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400" y="209550"/>
          <a:ext cx="10075545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2 :</a:t>
          </a:r>
        </a:p>
        <a:p>
          <a:r>
            <a:rPr lang="en-US" sz="1400" b="1"/>
            <a:t>On the sales person worksheet in the "sales" column enter a formula that multiplies the value in the "unit price" column by cell C2. ?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25400</xdr:rowOff>
    </xdr:from>
    <xdr:ext cx="1109980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050" y="215900"/>
          <a:ext cx="1109980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3 :</a:t>
          </a:r>
        </a:p>
        <a:p>
          <a:r>
            <a:rPr lang="en-US" sz="1400" b="1"/>
            <a:t>On the "Division" worksheet, in the "Bonus" column, use a function to display "low" if the sales is below 3000 otherwise leave the "Bonus" blank. 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</xdr:colOff>
      <xdr:row>1</xdr:row>
      <xdr:rowOff>6350</xdr:rowOff>
    </xdr:from>
    <xdr:ext cx="629285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4450" y="196850"/>
          <a:ext cx="629285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4 :</a:t>
          </a:r>
        </a:p>
        <a:p>
          <a:r>
            <a:rPr lang="en-US" sz="1400" b="1"/>
            <a:t>On the "circulation summary" worksheet, name the range A4:B8   "Circulation" ?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0</xdr:rowOff>
    </xdr:from>
    <xdr:ext cx="1073150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5400" y="190500"/>
          <a:ext cx="1073150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5 :</a:t>
          </a:r>
        </a:p>
        <a:p>
          <a:r>
            <a:rPr lang="en-US" sz="1400" b="1"/>
            <a:t>On the "New hires" worksheet remove the table row that contains "smith susanne" data (Do not change any content outside the table) ?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521335</xdr:colOff>
      <xdr:row>7</xdr:row>
      <xdr:rowOff>181610</xdr:rowOff>
    </xdr:from>
    <xdr:ext cx="4327525" cy="2505075"/>
    <xdr:graphicFrame macro="">
      <xdr:nvGraphicFramePr>
        <xdr:cNvPr id="1015209066" name="Chart 1">
          <a:extLst>
            <a:ext uri="{FF2B5EF4-FFF2-40B4-BE49-F238E27FC236}">
              <a16:creationId xmlns:a16="http://schemas.microsoft.com/office/drawing/2014/main" id="{00000000-0008-0000-0500-00006ADC8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628650</xdr:colOff>
      <xdr:row>1</xdr:row>
      <xdr:rowOff>177800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28650" y="3683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31750</xdr:colOff>
      <xdr:row>1</xdr:row>
      <xdr:rowOff>0</xdr:rowOff>
    </xdr:from>
    <xdr:ext cx="8340617" cy="53065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31750" y="190500"/>
          <a:ext cx="834009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6 :</a:t>
          </a:r>
        </a:p>
        <a:p>
          <a:r>
            <a:rPr lang="en-US" sz="1400" b="1"/>
            <a:t>On the "Total" worksheet, apply the style 7 chart style and the Monochromatic Palette 6 colour to the chart ?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</xdr:colOff>
      <xdr:row>1</xdr:row>
      <xdr:rowOff>12700</xdr:rowOff>
    </xdr:from>
    <xdr:ext cx="8705075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4450" y="203200"/>
          <a:ext cx="870458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7 :</a:t>
          </a:r>
        </a:p>
        <a:p>
          <a:r>
            <a:rPr lang="en-US" sz="1400" b="1"/>
            <a:t>On the "sales" worksheet in cell D27,use a function to display the highest sales amount from the "Sales " column ?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E30" totalsRowShown="0">
  <autoFilter ref="A8:E30" xr:uid="{00000000-0009-0000-0100-000002000000}">
    <filterColumn colId="1">
      <filters>
        <filter val="Vanilla"/>
      </filters>
    </filterColumn>
  </autoFilter>
  <tableColumns count="5">
    <tableColumn id="1" xr3:uid="{00000000-0010-0000-0000-000001000000}" name="Salesperson" dataDxfId="36"/>
    <tableColumn id="2" xr3:uid="{00000000-0010-0000-0000-000002000000}" name="Product" dataDxfId="35"/>
    <tableColumn id="3" xr3:uid="{00000000-0010-0000-0000-000003000000}" name="Units" dataDxfId="34"/>
    <tableColumn id="4" xr3:uid="{00000000-0010-0000-0000-000004000000}" name="Price/Unit" dataDxfId="33"/>
    <tableColumn id="5" xr3:uid="{00000000-0010-0000-0000-000005000000}" name="Sales" dataDxfId="32">
      <calculatedColumnFormula>C9*D9</calculatedColumnFormula>
    </tableColumn>
  </tableColumns>
  <tableStyleInfo name="Division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8:E28" totalsRowShown="0">
  <autoFilter ref="A8:E28" xr:uid="{00000000-0009-0000-0100-000003000000}"/>
  <tableColumns count="5">
    <tableColumn id="1" xr3:uid="{00000000-0010-0000-0100-000001000000}" name="Salesperson" dataDxfId="31"/>
    <tableColumn id="2" xr3:uid="{00000000-0010-0000-0100-000002000000}" name="Product" dataDxfId="30"/>
    <tableColumn id="3" xr3:uid="{00000000-0010-0000-0100-000003000000}" name="Units" dataDxfId="29"/>
    <tableColumn id="4" xr3:uid="{00000000-0010-0000-0100-000004000000}" name="Price/Unit" dataDxfId="28"/>
    <tableColumn id="5" xr3:uid="{00000000-0010-0000-0100-000005000000}" name="Sales" dataDxfId="27">
      <calculatedColumnFormula>C9*D9</calculatedColumnFormula>
    </tableColumn>
  </tableColumns>
  <tableStyleInfo name="Division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9:G27" totalsRowShown="0">
  <autoFilter ref="A9:G27" xr:uid="{00000000-0009-0000-0100-000004000000}"/>
  <tableColumns count="7">
    <tableColumn id="1" xr3:uid="{00000000-0010-0000-0200-000001000000}" name="Division" dataDxfId="26"/>
    <tableColumn id="2" xr3:uid="{00000000-0010-0000-0200-000002000000}" name="Category" dataDxfId="25"/>
    <tableColumn id="3" xr3:uid="{00000000-0010-0000-0200-000003000000}" name="Jan" dataDxfId="24"/>
    <tableColumn id="4" xr3:uid="{00000000-0010-0000-0200-000004000000}" name="Feb" dataDxfId="23"/>
    <tableColumn id="5" xr3:uid="{00000000-0010-0000-0200-000005000000}" name="Mar" dataDxfId="22"/>
    <tableColumn id="6" xr3:uid="{00000000-0010-0000-0200-000006000000}" name="Total Sales" dataDxfId="21">
      <calculatedColumnFormula>SUM(C10:E10)</calculatedColumnFormula>
    </tableColumn>
    <tableColumn id="7" xr3:uid="{00000000-0010-0000-0200-000007000000}" name="Bonus" dataDxfId="20">
      <calculatedColumnFormula>IF(F10&lt;3000,"low"," 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0:B15" totalsRowShown="0">
  <autoFilter ref="A10:B15" xr:uid="{00000000-0009-0000-0100-000005000000}"/>
  <tableColumns count="2">
    <tableColumn id="1" xr3:uid="{00000000-0010-0000-0300-000001000000}" name="Town" dataDxfId="19"/>
    <tableColumn id="2" xr3:uid="{00000000-0010-0000-0300-000002000000}" name="Circulation" dataDxfId="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9:G22" totalsRowShown="0">
  <autoFilter ref="A9:G22" xr:uid="{00000000-0009-0000-0100-000006000000}"/>
  <tableColumns count="7">
    <tableColumn id="1" xr3:uid="{00000000-0010-0000-0400-000001000000}" name="Name" dataDxfId="17"/>
    <tableColumn id="2" xr3:uid="{00000000-0010-0000-0400-000002000000}" name="Hire Date" dataDxfId="16"/>
    <tableColumn id="3" xr3:uid="{00000000-0010-0000-0400-000003000000}" name="Given HMO Packet" dataDxfId="15"/>
    <tableColumn id="4" xr3:uid="{00000000-0010-0000-0400-000004000000}" name="HMO Pkt turned in" dataDxfId="14"/>
    <tableColumn id="5" xr3:uid="{00000000-0010-0000-0400-000005000000}" name="Intro Meeting" dataDxfId="13"/>
    <tableColumn id="6" xr3:uid="{00000000-0010-0000-0400-000006000000}" name="Phone Assigned" dataDxfId="12"/>
    <tableColumn id="7" xr3:uid="{00000000-0010-0000-0400-000007000000}" name="Room No." dataDxfId="11"/>
  </tableColumns>
  <tableStyleInfo name="Division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0:F15" totalsRowShown="0">
  <autoFilter ref="A10:F15" xr:uid="{00000000-0009-0000-0100-000007000000}"/>
  <tableColumns count="6">
    <tableColumn id="1" xr3:uid="{00000000-0010-0000-0500-000001000000}" name="Sales Person" dataDxfId="10"/>
    <tableColumn id="2" xr3:uid="{00000000-0010-0000-0500-000002000000}" name="Week 1" dataDxfId="9"/>
    <tableColumn id="3" xr3:uid="{00000000-0010-0000-0500-000003000000}" name="Week 2" dataDxfId="8"/>
    <tableColumn id="4" xr3:uid="{00000000-0010-0000-0500-000004000000}" name="Week 3" dataDxfId="7"/>
    <tableColumn id="5" xr3:uid="{00000000-0010-0000-0500-000005000000}" name="Week 4" dataDxfId="6"/>
    <tableColumn id="6" xr3:uid="{00000000-0010-0000-0500-000006000000}" name="Totals" dataDxfId="5">
      <calculatedColumnFormula>SUM(B11:E11)</calculatedColumnFormula>
    </tableColumn>
  </tableColumns>
  <tableStyleInfo name="Division-styl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9:E31" totalsRowShown="0">
  <autoFilter ref="A9:E31" xr:uid="{00000000-0009-0000-0100-000008000000}"/>
  <tableColumns count="5">
    <tableColumn id="1" xr3:uid="{00000000-0010-0000-0600-000001000000}" name="Salesperson" dataDxfId="4"/>
    <tableColumn id="2" xr3:uid="{00000000-0010-0000-0600-000002000000}" name="Product" dataDxfId="3"/>
    <tableColumn id="3" xr3:uid="{00000000-0010-0000-0600-000003000000}" name="Units" dataDxfId="2"/>
    <tableColumn id="4" xr3:uid="{00000000-0010-0000-0600-000004000000}" name="Price/Unit" dataDxfId="1"/>
    <tableColumn id="5" xr3:uid="{00000000-0010-0000-0600-000005000000}" name="Sales" dataDxfId="0">
      <calculatedColumnFormula>C10*D10</calculatedColumnFormula>
    </tableColumn>
  </tableColumns>
  <tableStyleInfo name="Division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E1007"/>
  <sheetViews>
    <sheetView workbookViewId="0">
      <selection activeCell="J5" sqref="J5"/>
    </sheetView>
  </sheetViews>
  <sheetFormatPr defaultColWidth="14.44140625" defaultRowHeight="15" customHeight="1"/>
  <cols>
    <col min="1" max="5" width="14.6640625" customWidth="1"/>
    <col min="6" max="26" width="8.6640625" customWidth="1"/>
  </cols>
  <sheetData>
    <row r="6" spans="1:5" ht="15" customHeight="1">
      <c r="A6" s="49" t="s">
        <v>0</v>
      </c>
      <c r="B6" s="49"/>
      <c r="C6" s="49"/>
      <c r="D6" s="49"/>
      <c r="E6" s="49"/>
    </row>
    <row r="8" spans="1:5" ht="14.4">
      <c r="A8" s="44" t="s">
        <v>1</v>
      </c>
      <c r="B8" s="44" t="s">
        <v>2</v>
      </c>
      <c r="C8" s="44" t="s">
        <v>3</v>
      </c>
      <c r="D8" s="44" t="s">
        <v>4</v>
      </c>
      <c r="E8" s="44" t="s">
        <v>5</v>
      </c>
    </row>
    <row r="9" spans="1:5" ht="14.4" hidden="1">
      <c r="A9" s="45" t="s">
        <v>6</v>
      </c>
      <c r="B9" s="46" t="s">
        <v>7</v>
      </c>
      <c r="C9" s="46">
        <v>99</v>
      </c>
      <c r="D9" s="47">
        <v>10</v>
      </c>
      <c r="E9" s="48">
        <f t="shared" ref="E9:E30" si="0">C9*D9</f>
        <v>990</v>
      </c>
    </row>
    <row r="10" spans="1:5" ht="14.4" hidden="1">
      <c r="A10" s="45" t="s">
        <v>6</v>
      </c>
      <c r="B10" s="46" t="s">
        <v>8</v>
      </c>
      <c r="C10" s="46">
        <v>61</v>
      </c>
      <c r="D10" s="47">
        <v>13</v>
      </c>
      <c r="E10" s="48">
        <f t="shared" si="0"/>
        <v>793</v>
      </c>
    </row>
    <row r="11" spans="1:5" ht="14.4" hidden="1">
      <c r="A11" s="45" t="s">
        <v>6</v>
      </c>
      <c r="B11" s="46" t="s">
        <v>9</v>
      </c>
      <c r="C11" s="46">
        <v>28</v>
      </c>
      <c r="D11" s="47">
        <v>13.5</v>
      </c>
      <c r="E11" s="48">
        <f t="shared" si="0"/>
        <v>378</v>
      </c>
    </row>
    <row r="12" spans="1:5" ht="14.4">
      <c r="A12" s="45" t="s">
        <v>6</v>
      </c>
      <c r="B12" s="46" t="s">
        <v>10</v>
      </c>
      <c r="C12" s="46">
        <v>75</v>
      </c>
      <c r="D12" s="47">
        <v>11.2</v>
      </c>
      <c r="E12" s="48">
        <f t="shared" si="0"/>
        <v>840</v>
      </c>
    </row>
    <row r="13" spans="1:5" ht="14.4">
      <c r="A13" s="45" t="s">
        <v>6</v>
      </c>
      <c r="B13" s="46" t="s">
        <v>10</v>
      </c>
      <c r="C13" s="46">
        <v>80</v>
      </c>
      <c r="D13" s="47">
        <v>11.2</v>
      </c>
      <c r="E13" s="48">
        <f t="shared" si="0"/>
        <v>896</v>
      </c>
    </row>
    <row r="14" spans="1:5" ht="15" customHeight="1">
      <c r="A14" s="45" t="s">
        <v>6</v>
      </c>
      <c r="B14" s="46" t="s">
        <v>10</v>
      </c>
      <c r="C14" s="46">
        <v>80</v>
      </c>
      <c r="D14" s="47">
        <v>11.2</v>
      </c>
      <c r="E14" s="48">
        <f t="shared" si="0"/>
        <v>896</v>
      </c>
    </row>
    <row r="15" spans="1:5" ht="15" hidden="1" customHeight="1">
      <c r="A15" s="46" t="s">
        <v>11</v>
      </c>
      <c r="B15" s="46" t="s">
        <v>7</v>
      </c>
      <c r="C15" s="46">
        <v>75</v>
      </c>
      <c r="D15" s="47">
        <v>11</v>
      </c>
      <c r="E15" s="48">
        <f t="shared" si="0"/>
        <v>825</v>
      </c>
    </row>
    <row r="16" spans="1:5" ht="15" hidden="1" customHeight="1">
      <c r="A16" s="46" t="s">
        <v>11</v>
      </c>
      <c r="B16" s="46" t="s">
        <v>8</v>
      </c>
      <c r="C16" s="46">
        <v>75</v>
      </c>
      <c r="D16" s="47">
        <v>12.65</v>
      </c>
      <c r="E16" s="48">
        <f t="shared" si="0"/>
        <v>948.75</v>
      </c>
    </row>
    <row r="17" spans="1:5" ht="14.4" hidden="1">
      <c r="A17" s="46" t="s">
        <v>11</v>
      </c>
      <c r="B17" s="46" t="s">
        <v>8</v>
      </c>
      <c r="C17" s="46">
        <v>68</v>
      </c>
      <c r="D17" s="47">
        <v>12.65</v>
      </c>
      <c r="E17" s="48">
        <f t="shared" si="0"/>
        <v>860.2</v>
      </c>
    </row>
    <row r="18" spans="1:5" ht="14.4" hidden="1">
      <c r="A18" s="46" t="s">
        <v>11</v>
      </c>
      <c r="B18" s="46" t="s">
        <v>9</v>
      </c>
      <c r="C18" s="46">
        <v>86</v>
      </c>
      <c r="D18" s="47">
        <v>10</v>
      </c>
      <c r="E18" s="48">
        <f t="shared" si="0"/>
        <v>860</v>
      </c>
    </row>
    <row r="19" spans="1:5" ht="14.4">
      <c r="A19" s="46" t="s">
        <v>11</v>
      </c>
      <c r="B19" s="46" t="s">
        <v>10</v>
      </c>
      <c r="C19" s="46">
        <v>55</v>
      </c>
      <c r="D19" s="47">
        <v>12.55</v>
      </c>
      <c r="E19" s="48">
        <f t="shared" si="0"/>
        <v>690.25</v>
      </c>
    </row>
    <row r="20" spans="1:5" ht="14.4">
      <c r="A20" s="46" t="s">
        <v>11</v>
      </c>
      <c r="B20" s="46" t="s">
        <v>10</v>
      </c>
      <c r="C20" s="46">
        <v>65</v>
      </c>
      <c r="D20" s="47">
        <v>12.55</v>
      </c>
      <c r="E20" s="48">
        <f t="shared" si="0"/>
        <v>815.75</v>
      </c>
    </row>
    <row r="21" spans="1:5" ht="14.4" hidden="1">
      <c r="A21" s="46" t="s">
        <v>12</v>
      </c>
      <c r="B21" s="46" t="s">
        <v>7</v>
      </c>
      <c r="C21" s="46">
        <v>95</v>
      </c>
      <c r="D21" s="47">
        <v>10.55</v>
      </c>
      <c r="E21" s="48">
        <f t="shared" si="0"/>
        <v>1002.25</v>
      </c>
    </row>
    <row r="22" spans="1:5" ht="14.4" hidden="1">
      <c r="A22" s="46" t="s">
        <v>12</v>
      </c>
      <c r="B22" s="46" t="s">
        <v>8</v>
      </c>
      <c r="C22" s="46">
        <v>95</v>
      </c>
      <c r="D22" s="47">
        <v>10.55</v>
      </c>
      <c r="E22" s="48">
        <f t="shared" si="0"/>
        <v>1002.25</v>
      </c>
    </row>
    <row r="23" spans="1:5" ht="14.4" hidden="1">
      <c r="A23" s="46" t="s">
        <v>12</v>
      </c>
      <c r="B23" s="46" t="s">
        <v>9</v>
      </c>
      <c r="C23" s="46">
        <v>90</v>
      </c>
      <c r="D23" s="47">
        <v>10.9</v>
      </c>
      <c r="E23" s="48">
        <f t="shared" si="0"/>
        <v>981</v>
      </c>
    </row>
    <row r="24" spans="1:5" ht="14.4" hidden="1">
      <c r="A24" s="46" t="s">
        <v>12</v>
      </c>
      <c r="B24" s="46" t="s">
        <v>9</v>
      </c>
      <c r="C24" s="46">
        <v>110</v>
      </c>
      <c r="D24" s="47">
        <v>10.9</v>
      </c>
      <c r="E24" s="48">
        <f t="shared" si="0"/>
        <v>1199</v>
      </c>
    </row>
    <row r="25" spans="1:5" ht="14.4">
      <c r="A25" s="46" t="s">
        <v>12</v>
      </c>
      <c r="B25" s="46" t="s">
        <v>10</v>
      </c>
      <c r="C25" s="46">
        <v>95</v>
      </c>
      <c r="D25" s="47">
        <v>10.55</v>
      </c>
      <c r="E25" s="48">
        <f t="shared" si="0"/>
        <v>1002.25</v>
      </c>
    </row>
    <row r="26" spans="1:5" ht="14.4" hidden="1">
      <c r="A26" s="46" t="s">
        <v>13</v>
      </c>
      <c r="B26" s="46" t="s">
        <v>7</v>
      </c>
      <c r="C26" s="46">
        <v>52</v>
      </c>
      <c r="D26" s="47">
        <v>12</v>
      </c>
      <c r="E26" s="48">
        <f t="shared" si="0"/>
        <v>624</v>
      </c>
    </row>
    <row r="27" spans="1:5" ht="14.4" hidden="1">
      <c r="A27" s="46" t="s">
        <v>13</v>
      </c>
      <c r="B27" s="46" t="s">
        <v>8</v>
      </c>
      <c r="C27" s="46">
        <v>85</v>
      </c>
      <c r="D27" s="47">
        <v>11</v>
      </c>
      <c r="E27" s="48">
        <f t="shared" si="0"/>
        <v>935</v>
      </c>
    </row>
    <row r="28" spans="1:5" ht="15.75" hidden="1" customHeight="1">
      <c r="A28" s="46" t="s">
        <v>13</v>
      </c>
      <c r="B28" s="46" t="s">
        <v>9</v>
      </c>
      <c r="C28" s="46">
        <v>92</v>
      </c>
      <c r="D28" s="47">
        <v>11.5</v>
      </c>
      <c r="E28" s="48">
        <f t="shared" si="0"/>
        <v>1058</v>
      </c>
    </row>
    <row r="29" spans="1:5" ht="15.75" hidden="1" customHeight="1">
      <c r="A29" s="46" t="s">
        <v>13</v>
      </c>
      <c r="B29" s="46" t="s">
        <v>9</v>
      </c>
      <c r="C29" s="46">
        <v>95</v>
      </c>
      <c r="D29" s="47">
        <v>10.55</v>
      </c>
      <c r="E29" s="48">
        <f t="shared" si="0"/>
        <v>1002.25</v>
      </c>
    </row>
    <row r="30" spans="1:5" ht="15.75" hidden="1" customHeight="1">
      <c r="A30" s="46" t="s">
        <v>13</v>
      </c>
      <c r="B30" s="46" t="s">
        <v>9</v>
      </c>
      <c r="C30" s="46">
        <v>90</v>
      </c>
      <c r="D30" s="47">
        <v>10.55</v>
      </c>
      <c r="E30" s="48">
        <f t="shared" si="0"/>
        <v>949.5</v>
      </c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6:E6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1007"/>
  <sheetViews>
    <sheetView workbookViewId="0">
      <selection activeCell="E10" sqref="E10"/>
    </sheetView>
  </sheetViews>
  <sheetFormatPr defaultColWidth="14.44140625" defaultRowHeight="15" customHeight="1"/>
  <cols>
    <col min="1" max="5" width="14.6640625" customWidth="1"/>
    <col min="6" max="26" width="8.6640625" customWidth="1"/>
  </cols>
  <sheetData>
    <row r="6" spans="1:5" ht="15" customHeight="1">
      <c r="A6" s="49" t="s">
        <v>14</v>
      </c>
      <c r="B6" s="49"/>
      <c r="C6" s="49"/>
      <c r="D6" s="49"/>
      <c r="E6" s="49"/>
    </row>
    <row r="8" spans="1:5" ht="14.4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5" ht="14.4">
      <c r="A9" s="2" t="s">
        <v>6</v>
      </c>
      <c r="B9" s="3" t="s">
        <v>7</v>
      </c>
      <c r="C9" s="3">
        <v>99</v>
      </c>
      <c r="D9" s="4">
        <v>10</v>
      </c>
      <c r="E9" s="5">
        <f t="shared" ref="E9:E28" si="0">C9*D9</f>
        <v>990</v>
      </c>
    </row>
    <row r="10" spans="1:5" ht="14.4">
      <c r="A10" s="2" t="s">
        <v>6</v>
      </c>
      <c r="B10" s="3" t="s">
        <v>8</v>
      </c>
      <c r="C10" s="3">
        <v>61</v>
      </c>
      <c r="D10" s="4">
        <v>13</v>
      </c>
      <c r="E10" s="5">
        <f t="shared" si="0"/>
        <v>793</v>
      </c>
    </row>
    <row r="11" spans="1:5" ht="14.4">
      <c r="A11" s="2" t="s">
        <v>6</v>
      </c>
      <c r="B11" s="3" t="s">
        <v>9</v>
      </c>
      <c r="C11" s="3">
        <v>28</v>
      </c>
      <c r="D11" s="4">
        <v>13.5</v>
      </c>
      <c r="E11" s="5">
        <f t="shared" si="0"/>
        <v>378</v>
      </c>
    </row>
    <row r="12" spans="1:5" ht="14.4">
      <c r="A12" s="2" t="s">
        <v>6</v>
      </c>
      <c r="B12" s="3" t="s">
        <v>10</v>
      </c>
      <c r="C12" s="3">
        <v>75</v>
      </c>
      <c r="D12" s="4">
        <v>11.2</v>
      </c>
      <c r="E12" s="5">
        <f t="shared" si="0"/>
        <v>840</v>
      </c>
    </row>
    <row r="13" spans="1:5" ht="14.4">
      <c r="A13" s="2" t="s">
        <v>6</v>
      </c>
      <c r="B13" s="3" t="s">
        <v>10</v>
      </c>
      <c r="C13" s="3">
        <v>80</v>
      </c>
      <c r="D13" s="4">
        <v>11.2</v>
      </c>
      <c r="E13" s="5">
        <f t="shared" si="0"/>
        <v>896</v>
      </c>
    </row>
    <row r="14" spans="1:5" ht="14.4">
      <c r="A14" s="2" t="s">
        <v>6</v>
      </c>
      <c r="B14" s="3" t="s">
        <v>10</v>
      </c>
      <c r="C14" s="3">
        <v>80</v>
      </c>
      <c r="D14" s="4">
        <v>11.2</v>
      </c>
      <c r="E14" s="5">
        <f t="shared" si="0"/>
        <v>896</v>
      </c>
    </row>
    <row r="15" spans="1:5" ht="14.4">
      <c r="A15" s="3" t="s">
        <v>11</v>
      </c>
      <c r="B15" s="3" t="s">
        <v>7</v>
      </c>
      <c r="C15" s="3">
        <v>75</v>
      </c>
      <c r="D15" s="4">
        <v>11</v>
      </c>
      <c r="E15" s="5">
        <f t="shared" si="0"/>
        <v>825</v>
      </c>
    </row>
    <row r="16" spans="1:5" ht="14.55" customHeight="1">
      <c r="A16" s="3" t="s">
        <v>11</v>
      </c>
      <c r="B16" s="3" t="s">
        <v>8</v>
      </c>
      <c r="C16" s="3">
        <v>75</v>
      </c>
      <c r="D16" s="4">
        <v>12.65</v>
      </c>
      <c r="E16" s="5">
        <f t="shared" si="0"/>
        <v>948.75</v>
      </c>
    </row>
    <row r="17" spans="1:5" ht="14.4">
      <c r="A17" s="3" t="s">
        <v>11</v>
      </c>
      <c r="B17" s="3" t="s">
        <v>8</v>
      </c>
      <c r="C17" s="3">
        <v>68</v>
      </c>
      <c r="D17" s="4">
        <v>12.65</v>
      </c>
      <c r="E17" s="5">
        <f t="shared" si="0"/>
        <v>860.2</v>
      </c>
    </row>
    <row r="18" spans="1:5" ht="14.4">
      <c r="A18" s="3" t="s">
        <v>11</v>
      </c>
      <c r="B18" s="3" t="s">
        <v>9</v>
      </c>
      <c r="C18" s="3">
        <v>86</v>
      </c>
      <c r="D18" s="4">
        <v>10</v>
      </c>
      <c r="E18" s="5">
        <f t="shared" si="0"/>
        <v>860</v>
      </c>
    </row>
    <row r="19" spans="1:5" ht="14.4">
      <c r="A19" s="3" t="s">
        <v>11</v>
      </c>
      <c r="B19" s="3" t="s">
        <v>10</v>
      </c>
      <c r="C19" s="3">
        <v>55</v>
      </c>
      <c r="D19" s="4">
        <v>12.55</v>
      </c>
      <c r="E19" s="5">
        <f t="shared" si="0"/>
        <v>690.25</v>
      </c>
    </row>
    <row r="20" spans="1:5" ht="14.4">
      <c r="A20" s="3" t="s">
        <v>11</v>
      </c>
      <c r="B20" s="3" t="s">
        <v>10</v>
      </c>
      <c r="C20" s="3">
        <v>65</v>
      </c>
      <c r="D20" s="4">
        <v>12.55</v>
      </c>
      <c r="E20" s="5">
        <f t="shared" si="0"/>
        <v>815.75</v>
      </c>
    </row>
    <row r="21" spans="1:5" ht="14.4">
      <c r="A21" s="3" t="s">
        <v>12</v>
      </c>
      <c r="B21" s="3" t="s">
        <v>7</v>
      </c>
      <c r="C21" s="3">
        <v>95</v>
      </c>
      <c r="D21" s="4">
        <v>10.55</v>
      </c>
      <c r="E21" s="5">
        <f t="shared" si="0"/>
        <v>1002.25</v>
      </c>
    </row>
    <row r="22" spans="1:5" ht="14.4">
      <c r="A22" s="3" t="s">
        <v>12</v>
      </c>
      <c r="B22" s="3" t="s">
        <v>8</v>
      </c>
      <c r="C22" s="3">
        <v>95</v>
      </c>
      <c r="D22" s="4">
        <v>10.55</v>
      </c>
      <c r="E22" s="5">
        <f t="shared" si="0"/>
        <v>1002.25</v>
      </c>
    </row>
    <row r="23" spans="1:5" ht="14.4">
      <c r="A23" s="3" t="s">
        <v>12</v>
      </c>
      <c r="B23" s="3" t="s">
        <v>9</v>
      </c>
      <c r="C23" s="3">
        <v>90</v>
      </c>
      <c r="D23" s="4">
        <v>10.9</v>
      </c>
      <c r="E23" s="5">
        <f t="shared" si="0"/>
        <v>981</v>
      </c>
    </row>
    <row r="24" spans="1:5" ht="14.4">
      <c r="A24" s="3" t="s">
        <v>12</v>
      </c>
      <c r="B24" s="3" t="s">
        <v>9</v>
      </c>
      <c r="C24" s="3">
        <v>110</v>
      </c>
      <c r="D24" s="4">
        <v>10.9</v>
      </c>
      <c r="E24" s="5">
        <f t="shared" si="0"/>
        <v>1199</v>
      </c>
    </row>
    <row r="25" spans="1:5" ht="14.4">
      <c r="A25" s="3" t="s">
        <v>12</v>
      </c>
      <c r="B25" s="3" t="s">
        <v>10</v>
      </c>
      <c r="C25" s="3">
        <v>95</v>
      </c>
      <c r="D25" s="4">
        <v>10.55</v>
      </c>
      <c r="E25" s="5">
        <f t="shared" si="0"/>
        <v>1002.25</v>
      </c>
    </row>
    <row r="26" spans="1:5" ht="14.4">
      <c r="A26" s="3" t="s">
        <v>13</v>
      </c>
      <c r="B26" s="3" t="s">
        <v>7</v>
      </c>
      <c r="C26" s="3">
        <v>52</v>
      </c>
      <c r="D26" s="4">
        <v>12</v>
      </c>
      <c r="E26" s="5">
        <f t="shared" si="0"/>
        <v>624</v>
      </c>
    </row>
    <row r="27" spans="1:5" ht="14.4">
      <c r="A27" s="3" t="s">
        <v>13</v>
      </c>
      <c r="B27" s="3" t="s">
        <v>8</v>
      </c>
      <c r="C27" s="3">
        <v>85</v>
      </c>
      <c r="D27" s="4">
        <v>11</v>
      </c>
      <c r="E27" s="5">
        <f t="shared" si="0"/>
        <v>935</v>
      </c>
    </row>
    <row r="28" spans="1:5" ht="15.75" customHeight="1">
      <c r="A28" s="3" t="s">
        <v>13</v>
      </c>
      <c r="B28" s="3" t="s">
        <v>9</v>
      </c>
      <c r="C28" s="3">
        <v>92</v>
      </c>
      <c r="D28" s="4">
        <v>11.5</v>
      </c>
      <c r="E28" s="5">
        <f t="shared" si="0"/>
        <v>1058</v>
      </c>
    </row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6:E6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G1008"/>
  <sheetViews>
    <sheetView topLeftCell="A2" workbookViewId="0">
      <selection activeCell="G11" sqref="G11"/>
    </sheetView>
  </sheetViews>
  <sheetFormatPr defaultColWidth="14.44140625" defaultRowHeight="15" customHeight="1"/>
  <cols>
    <col min="1" max="6" width="14.6640625" customWidth="1"/>
    <col min="7" max="7" width="9.6640625" customWidth="1"/>
    <col min="8" max="26" width="8.6640625" customWidth="1"/>
  </cols>
  <sheetData>
    <row r="7" spans="1:7" ht="15" customHeight="1">
      <c r="A7" s="49" t="s">
        <v>15</v>
      </c>
      <c r="B7" s="49"/>
      <c r="C7" s="49"/>
      <c r="D7" s="49"/>
      <c r="E7" s="49"/>
      <c r="F7" s="49"/>
      <c r="G7" s="49"/>
    </row>
    <row r="9" spans="1:7" ht="14.4">
      <c r="A9" s="26" t="s">
        <v>16</v>
      </c>
      <c r="B9" s="27" t="s">
        <v>17</v>
      </c>
      <c r="C9" s="27" t="s">
        <v>18</v>
      </c>
      <c r="D9" s="27" t="s">
        <v>19</v>
      </c>
      <c r="E9" s="27" t="s">
        <v>20</v>
      </c>
      <c r="F9" s="27" t="s">
        <v>21</v>
      </c>
      <c r="G9" s="28" t="s">
        <v>22</v>
      </c>
    </row>
    <row r="10" spans="1:7" ht="14.4">
      <c r="A10" s="29" t="s">
        <v>23</v>
      </c>
      <c r="B10" s="30" t="s">
        <v>24</v>
      </c>
      <c r="C10" s="31">
        <v>800</v>
      </c>
      <c r="D10" s="31">
        <v>650</v>
      </c>
      <c r="E10" s="31">
        <v>700</v>
      </c>
      <c r="F10" s="31">
        <f t="shared" ref="F10:F27" si="0">SUM(C10:E10)</f>
        <v>2150</v>
      </c>
      <c r="G10" s="32" t="str">
        <f t="shared" ref="G10:G27" si="1">IF(F10&lt;3000,"low"," ")</f>
        <v>low</v>
      </c>
    </row>
    <row r="11" spans="1:7" ht="14.4">
      <c r="A11" s="33" t="s">
        <v>23</v>
      </c>
      <c r="B11" s="34" t="s">
        <v>25</v>
      </c>
      <c r="C11" s="35">
        <v>900</v>
      </c>
      <c r="D11" s="35">
        <v>850</v>
      </c>
      <c r="E11" s="35">
        <v>850</v>
      </c>
      <c r="F11" s="35">
        <f t="shared" si="0"/>
        <v>2600</v>
      </c>
      <c r="G11" s="32" t="str">
        <f t="shared" si="1"/>
        <v>low</v>
      </c>
    </row>
    <row r="12" spans="1:7" ht="14.4">
      <c r="A12" s="33" t="s">
        <v>23</v>
      </c>
      <c r="B12" s="34" t="s">
        <v>26</v>
      </c>
      <c r="C12" s="35">
        <v>4850</v>
      </c>
      <c r="D12" s="35">
        <v>3200</v>
      </c>
      <c r="E12" s="35">
        <v>1155</v>
      </c>
      <c r="F12" s="35">
        <f t="shared" si="0"/>
        <v>9205</v>
      </c>
      <c r="G12" s="32" t="str">
        <f t="shared" si="1"/>
        <v/>
      </c>
    </row>
    <row r="13" spans="1:7" ht="14.4">
      <c r="A13" s="33" t="s">
        <v>23</v>
      </c>
      <c r="B13" s="34" t="s">
        <v>27</v>
      </c>
      <c r="C13" s="35">
        <v>1250</v>
      </c>
      <c r="D13" s="35">
        <v>1250</v>
      </c>
      <c r="E13" s="35">
        <v>1250</v>
      </c>
      <c r="F13" s="35">
        <f t="shared" si="0"/>
        <v>3750</v>
      </c>
      <c r="G13" s="32" t="str">
        <f t="shared" si="1"/>
        <v/>
      </c>
    </row>
    <row r="14" spans="1:7" ht="14.4">
      <c r="A14" s="33" t="s">
        <v>23</v>
      </c>
      <c r="B14" s="34" t="s">
        <v>28</v>
      </c>
      <c r="C14" s="35">
        <v>2025</v>
      </c>
      <c r="D14" s="35">
        <v>2200</v>
      </c>
      <c r="E14" s="35">
        <v>1650</v>
      </c>
      <c r="F14" s="35">
        <f t="shared" si="0"/>
        <v>5875</v>
      </c>
      <c r="G14" s="32" t="str">
        <f t="shared" si="1"/>
        <v/>
      </c>
    </row>
    <row r="15" spans="1:7" ht="14.4">
      <c r="A15" s="33" t="s">
        <v>23</v>
      </c>
      <c r="B15" s="34" t="s">
        <v>29</v>
      </c>
      <c r="C15" s="35">
        <v>1350</v>
      </c>
      <c r="D15" s="35">
        <v>1500</v>
      </c>
      <c r="E15" s="35">
        <v>1700</v>
      </c>
      <c r="F15" s="35">
        <f t="shared" si="0"/>
        <v>4550</v>
      </c>
      <c r="G15" s="32" t="str">
        <f t="shared" si="1"/>
        <v/>
      </c>
    </row>
    <row r="16" spans="1:7" ht="14.55" customHeight="1">
      <c r="A16" s="33" t="s">
        <v>23</v>
      </c>
      <c r="B16" s="34" t="s">
        <v>30</v>
      </c>
      <c r="C16" s="35">
        <v>3300</v>
      </c>
      <c r="D16" s="35">
        <v>3500</v>
      </c>
      <c r="E16" s="35">
        <v>3700</v>
      </c>
      <c r="F16" s="35">
        <f t="shared" si="0"/>
        <v>10500</v>
      </c>
      <c r="G16" s="32" t="str">
        <f t="shared" si="1"/>
        <v/>
      </c>
    </row>
    <row r="17" spans="1:7" ht="14.4">
      <c r="A17" s="33" t="s">
        <v>23</v>
      </c>
      <c r="B17" s="34" t="s">
        <v>31</v>
      </c>
      <c r="C17" s="35">
        <v>3825</v>
      </c>
      <c r="D17" s="35">
        <v>3725</v>
      </c>
      <c r="E17" s="35">
        <v>3750</v>
      </c>
      <c r="F17" s="35">
        <f t="shared" si="0"/>
        <v>11300</v>
      </c>
      <c r="G17" s="32" t="str">
        <f t="shared" si="1"/>
        <v/>
      </c>
    </row>
    <row r="18" spans="1:7" ht="14.4">
      <c r="A18" s="33" t="s">
        <v>23</v>
      </c>
      <c r="B18" s="34" t="s">
        <v>32</v>
      </c>
      <c r="C18" s="35">
        <v>8900</v>
      </c>
      <c r="D18" s="35">
        <v>10315</v>
      </c>
      <c r="E18" s="35">
        <v>5250</v>
      </c>
      <c r="F18" s="35">
        <f t="shared" si="0"/>
        <v>24465</v>
      </c>
      <c r="G18" s="32" t="str">
        <f t="shared" si="1"/>
        <v/>
      </c>
    </row>
    <row r="19" spans="1:7" ht="14.4">
      <c r="A19" s="33" t="s">
        <v>23</v>
      </c>
      <c r="B19" s="34" t="s">
        <v>33</v>
      </c>
      <c r="C19" s="35">
        <v>6250</v>
      </c>
      <c r="D19" s="35">
        <v>6000</v>
      </c>
      <c r="E19" s="35">
        <v>6500</v>
      </c>
      <c r="F19" s="35">
        <f t="shared" si="0"/>
        <v>18750</v>
      </c>
      <c r="G19" s="32" t="str">
        <f t="shared" si="1"/>
        <v/>
      </c>
    </row>
    <row r="20" spans="1:7" ht="14.4">
      <c r="A20" s="33" t="s">
        <v>23</v>
      </c>
      <c r="B20" s="34" t="s">
        <v>34</v>
      </c>
      <c r="C20" s="35">
        <v>8000</v>
      </c>
      <c r="D20" s="35">
        <v>8000</v>
      </c>
      <c r="E20" s="35">
        <v>8000</v>
      </c>
      <c r="F20" s="35">
        <f t="shared" si="0"/>
        <v>24000</v>
      </c>
      <c r="G20" s="32" t="str">
        <f t="shared" si="1"/>
        <v/>
      </c>
    </row>
    <row r="21" spans="1:7" ht="14.4">
      <c r="A21" s="33" t="s">
        <v>23</v>
      </c>
      <c r="B21" s="34" t="s">
        <v>35</v>
      </c>
      <c r="C21" s="35">
        <v>11500</v>
      </c>
      <c r="D21" s="35">
        <v>12500</v>
      </c>
      <c r="E21" s="35">
        <v>12500</v>
      </c>
      <c r="F21" s="35">
        <f t="shared" si="0"/>
        <v>36500</v>
      </c>
      <c r="G21" s="32" t="str">
        <f t="shared" si="1"/>
        <v/>
      </c>
    </row>
    <row r="22" spans="1:7" ht="14.4">
      <c r="A22" s="33" t="s">
        <v>23</v>
      </c>
      <c r="B22" s="34" t="s">
        <v>36</v>
      </c>
      <c r="C22" s="35">
        <v>12250</v>
      </c>
      <c r="D22" s="35">
        <v>12250</v>
      </c>
      <c r="E22" s="35">
        <v>12750</v>
      </c>
      <c r="F22" s="35">
        <f t="shared" si="0"/>
        <v>37250</v>
      </c>
      <c r="G22" s="32" t="str">
        <f t="shared" si="1"/>
        <v/>
      </c>
    </row>
    <row r="23" spans="1:7" ht="14.4">
      <c r="A23" s="33" t="s">
        <v>23</v>
      </c>
      <c r="B23" s="34" t="s">
        <v>37</v>
      </c>
      <c r="C23" s="35">
        <v>25000</v>
      </c>
      <c r="D23" s="35">
        <v>24000</v>
      </c>
      <c r="E23" s="35">
        <v>26390</v>
      </c>
      <c r="F23" s="35">
        <f t="shared" si="0"/>
        <v>75390</v>
      </c>
      <c r="G23" s="32" t="str">
        <f t="shared" si="1"/>
        <v/>
      </c>
    </row>
    <row r="24" spans="1:7" ht="14.4">
      <c r="A24" s="36" t="s">
        <v>38</v>
      </c>
      <c r="B24" s="34" t="s">
        <v>24</v>
      </c>
      <c r="C24" s="35">
        <v>800</v>
      </c>
      <c r="D24" s="35">
        <v>950</v>
      </c>
      <c r="E24" s="35">
        <v>750</v>
      </c>
      <c r="F24" s="35">
        <f t="shared" si="0"/>
        <v>2500</v>
      </c>
      <c r="G24" s="32" t="str">
        <f t="shared" si="1"/>
        <v>low</v>
      </c>
    </row>
    <row r="25" spans="1:7" ht="14.4">
      <c r="A25" s="36" t="s">
        <v>38</v>
      </c>
      <c r="B25" s="34" t="s">
        <v>27</v>
      </c>
      <c r="C25" s="35">
        <v>850</v>
      </c>
      <c r="D25" s="35">
        <v>750</v>
      </c>
      <c r="E25" s="35">
        <v>800</v>
      </c>
      <c r="F25" s="35">
        <f t="shared" si="0"/>
        <v>2400</v>
      </c>
      <c r="G25" s="32" t="str">
        <f t="shared" si="1"/>
        <v>low</v>
      </c>
    </row>
    <row r="26" spans="1:7" ht="14.4">
      <c r="A26" s="37" t="s">
        <v>38</v>
      </c>
      <c r="B26" s="38" t="s">
        <v>29</v>
      </c>
      <c r="C26" s="39">
        <v>940</v>
      </c>
      <c r="D26" s="39">
        <v>950</v>
      </c>
      <c r="E26" s="39">
        <v>820</v>
      </c>
      <c r="F26" s="39">
        <f t="shared" si="0"/>
        <v>2710</v>
      </c>
      <c r="G26" s="40" t="str">
        <f t="shared" si="1"/>
        <v>low</v>
      </c>
    </row>
    <row r="27" spans="1:7" ht="14.4">
      <c r="A27" s="41" t="s">
        <v>38</v>
      </c>
      <c r="B27" s="42" t="s">
        <v>25</v>
      </c>
      <c r="C27" s="43">
        <v>980</v>
      </c>
      <c r="D27" s="43">
        <v>850</v>
      </c>
      <c r="E27" s="43">
        <v>950</v>
      </c>
      <c r="F27" s="43">
        <f t="shared" si="0"/>
        <v>2780</v>
      </c>
      <c r="G27" s="40" t="str">
        <f t="shared" si="1"/>
        <v>low</v>
      </c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7:G7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K1007"/>
  <sheetViews>
    <sheetView workbookViewId="0">
      <selection activeCell="A11" sqref="A11:B15"/>
    </sheetView>
  </sheetViews>
  <sheetFormatPr defaultColWidth="14.44140625" defaultRowHeight="15" customHeight="1"/>
  <cols>
    <col min="1" max="1" width="18" customWidth="1"/>
    <col min="2" max="2" width="20.77734375" customWidth="1"/>
    <col min="3" max="26" width="8.6640625" customWidth="1"/>
  </cols>
  <sheetData>
    <row r="8" spans="1:2" ht="17.399999999999999">
      <c r="A8" s="49" t="s">
        <v>39</v>
      </c>
      <c r="B8" s="50"/>
    </row>
    <row r="10" spans="1:2" ht="14.4">
      <c r="A10" s="19" t="s">
        <v>40</v>
      </c>
      <c r="B10" s="20" t="s">
        <v>41</v>
      </c>
    </row>
    <row r="11" spans="1:2" ht="14.4">
      <c r="A11" s="21" t="s">
        <v>42</v>
      </c>
      <c r="B11" s="22">
        <v>1185421</v>
      </c>
    </row>
    <row r="12" spans="1:2" ht="14.4">
      <c r="A12" s="23" t="s">
        <v>43</v>
      </c>
      <c r="B12" s="22">
        <v>1445600</v>
      </c>
    </row>
    <row r="13" spans="1:2" ht="14.55" customHeight="1">
      <c r="A13" s="23" t="s">
        <v>44</v>
      </c>
      <c r="B13" s="22">
        <v>1766973</v>
      </c>
    </row>
    <row r="14" spans="1:2" ht="14.4">
      <c r="A14" s="23" t="s">
        <v>45</v>
      </c>
      <c r="B14" s="22">
        <v>1033799</v>
      </c>
    </row>
    <row r="15" spans="1:2" ht="14.4">
      <c r="A15" s="24" t="s">
        <v>46</v>
      </c>
      <c r="B15" s="25">
        <v>1158667</v>
      </c>
    </row>
    <row r="20" spans="11:11" ht="15" customHeight="1">
      <c r="K20" t="s">
        <v>47</v>
      </c>
    </row>
    <row r="23" spans="11:11" ht="14.4"/>
    <row r="28" spans="11:11" ht="15.75" customHeight="1"/>
    <row r="29" spans="11:11" ht="15.75" customHeight="1"/>
    <row r="30" spans="11:11" ht="15.75" customHeight="1"/>
    <row r="31" spans="11:11" ht="15.75" customHeight="1"/>
    <row r="32" spans="1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8:B8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G1006"/>
  <sheetViews>
    <sheetView workbookViewId="0">
      <selection activeCell="A18" sqref="A18:XFD18"/>
    </sheetView>
  </sheetViews>
  <sheetFormatPr defaultColWidth="14.44140625" defaultRowHeight="15" customHeight="1"/>
  <cols>
    <col min="1" max="2" width="16.6640625" customWidth="1"/>
    <col min="3" max="3" width="18.21875" customWidth="1"/>
    <col min="4" max="4" width="17.5546875" customWidth="1"/>
    <col min="5" max="7" width="16.6640625" customWidth="1"/>
    <col min="8" max="26" width="8.6640625" customWidth="1"/>
  </cols>
  <sheetData>
    <row r="7" spans="1:7" ht="15" customHeight="1">
      <c r="A7" s="49" t="s">
        <v>48</v>
      </c>
      <c r="B7" s="49"/>
      <c r="C7" s="49"/>
      <c r="D7" s="49"/>
      <c r="E7" s="49"/>
      <c r="F7" s="49"/>
      <c r="G7" s="49"/>
    </row>
    <row r="9" spans="1:7" ht="14.4">
      <c r="A9" s="17" t="s">
        <v>49</v>
      </c>
      <c r="B9" s="17" t="s">
        <v>50</v>
      </c>
      <c r="C9" s="17" t="s">
        <v>51</v>
      </c>
      <c r="D9" s="17" t="s">
        <v>52</v>
      </c>
      <c r="E9" s="17" t="s">
        <v>53</v>
      </c>
      <c r="F9" s="17" t="s">
        <v>54</v>
      </c>
      <c r="G9" s="17" t="s">
        <v>55</v>
      </c>
    </row>
    <row r="10" spans="1:7" ht="14.4">
      <c r="A10" t="s">
        <v>56</v>
      </c>
      <c r="B10" s="18">
        <v>34460</v>
      </c>
      <c r="C10" t="s">
        <v>57</v>
      </c>
      <c r="D10" t="s">
        <v>57</v>
      </c>
      <c r="E10" t="s">
        <v>57</v>
      </c>
      <c r="F10">
        <v>2121</v>
      </c>
      <c r="G10">
        <v>220</v>
      </c>
    </row>
    <row r="11" spans="1:7" ht="14.4">
      <c r="A11" t="s">
        <v>58</v>
      </c>
      <c r="B11" s="18">
        <v>34460</v>
      </c>
      <c r="C11" t="s">
        <v>57</v>
      </c>
      <c r="D11" t="s">
        <v>57</v>
      </c>
      <c r="E11" t="s">
        <v>57</v>
      </c>
      <c r="F11">
        <v>2122</v>
      </c>
      <c r="G11">
        <v>221</v>
      </c>
    </row>
    <row r="12" spans="1:7" ht="14.4">
      <c r="A12" t="s">
        <v>59</v>
      </c>
      <c r="B12" s="18">
        <v>34589</v>
      </c>
      <c r="C12" t="s">
        <v>57</v>
      </c>
      <c r="D12" t="s">
        <v>57</v>
      </c>
      <c r="E12" t="s">
        <v>57</v>
      </c>
      <c r="F12">
        <v>2345</v>
      </c>
      <c r="G12">
        <v>223</v>
      </c>
    </row>
    <row r="13" spans="1:7" ht="14.4">
      <c r="A13" t="s">
        <v>60</v>
      </c>
      <c r="B13" s="18">
        <v>34595</v>
      </c>
      <c r="C13" t="s">
        <v>57</v>
      </c>
      <c r="D13" t="s">
        <v>57</v>
      </c>
      <c r="E13" t="s">
        <v>57</v>
      </c>
      <c r="F13">
        <v>4532</v>
      </c>
      <c r="G13">
        <v>220</v>
      </c>
    </row>
    <row r="14" spans="1:7" ht="14.4">
      <c r="A14" t="s">
        <v>61</v>
      </c>
      <c r="B14" s="18">
        <v>34618</v>
      </c>
      <c r="C14" t="s">
        <v>57</v>
      </c>
      <c r="D14" t="s">
        <v>57</v>
      </c>
      <c r="E14" t="s">
        <v>57</v>
      </c>
      <c r="F14">
        <v>4324</v>
      </c>
      <c r="G14">
        <v>221</v>
      </c>
    </row>
    <row r="15" spans="1:7" ht="14.4">
      <c r="A15" t="s">
        <v>62</v>
      </c>
      <c r="B15" s="18">
        <v>34367</v>
      </c>
      <c r="C15" t="s">
        <v>57</v>
      </c>
      <c r="D15" t="s">
        <v>57</v>
      </c>
      <c r="E15" t="s">
        <v>57</v>
      </c>
      <c r="F15">
        <v>3456</v>
      </c>
      <c r="G15">
        <v>223</v>
      </c>
    </row>
    <row r="16" spans="1:7" ht="14.4">
      <c r="A16" t="s">
        <v>63</v>
      </c>
      <c r="B16" s="18">
        <v>34428</v>
      </c>
      <c r="C16" t="s">
        <v>57</v>
      </c>
      <c r="D16" t="s">
        <v>57</v>
      </c>
      <c r="E16" t="s">
        <v>57</v>
      </c>
      <c r="F16">
        <v>3234</v>
      </c>
      <c r="G16">
        <v>223</v>
      </c>
    </row>
    <row r="17" spans="1:7" ht="14.4">
      <c r="A17" t="s">
        <v>64</v>
      </c>
      <c r="B17" s="18">
        <v>34470</v>
      </c>
      <c r="C17" t="s">
        <v>57</v>
      </c>
      <c r="D17" t="s">
        <v>57</v>
      </c>
      <c r="E17" t="s">
        <v>57</v>
      </c>
      <c r="F17">
        <v>2323</v>
      </c>
      <c r="G17">
        <v>222</v>
      </c>
    </row>
    <row r="18" spans="1:7" ht="14.4">
      <c r="A18" t="s">
        <v>65</v>
      </c>
      <c r="B18" s="18">
        <v>34712</v>
      </c>
      <c r="C18" t="s">
        <v>57</v>
      </c>
      <c r="D18" t="s">
        <v>57</v>
      </c>
      <c r="E18" t="s">
        <v>57</v>
      </c>
      <c r="F18">
        <v>5431</v>
      </c>
      <c r="G18">
        <v>223</v>
      </c>
    </row>
    <row r="19" spans="1:7" ht="14.4">
      <c r="A19" t="s">
        <v>66</v>
      </c>
      <c r="B19" s="18">
        <v>34714</v>
      </c>
      <c r="C19" t="s">
        <v>57</v>
      </c>
      <c r="D19" t="s">
        <v>67</v>
      </c>
      <c r="E19" t="s">
        <v>57</v>
      </c>
      <c r="F19">
        <v>5434</v>
      </c>
      <c r="G19">
        <v>220</v>
      </c>
    </row>
    <row r="20" spans="1:7" ht="14.4">
      <c r="A20" t="s">
        <v>68</v>
      </c>
      <c r="B20" s="18">
        <v>34744</v>
      </c>
      <c r="C20" t="s">
        <v>57</v>
      </c>
      <c r="D20" t="s">
        <v>67</v>
      </c>
      <c r="E20" t="s">
        <v>57</v>
      </c>
      <c r="F20">
        <v>5453</v>
      </c>
      <c r="G20">
        <v>221</v>
      </c>
    </row>
    <row r="21" spans="1:7" ht="14.4">
      <c r="A21" t="s">
        <v>69</v>
      </c>
      <c r="B21" s="18">
        <v>34758</v>
      </c>
      <c r="C21" t="s">
        <v>57</v>
      </c>
      <c r="D21" t="s">
        <v>67</v>
      </c>
      <c r="E21" t="s">
        <v>57</v>
      </c>
      <c r="F21">
        <v>5437</v>
      </c>
      <c r="G21">
        <v>223</v>
      </c>
    </row>
    <row r="22" spans="1:7" ht="14.4">
      <c r="A22" t="s">
        <v>70</v>
      </c>
      <c r="B22" s="18">
        <v>34772</v>
      </c>
      <c r="C22" t="s">
        <v>57</v>
      </c>
      <c r="D22" t="s">
        <v>57</v>
      </c>
      <c r="E22" t="s">
        <v>57</v>
      </c>
      <c r="F22">
        <v>5438</v>
      </c>
      <c r="G22">
        <v>223</v>
      </c>
    </row>
    <row r="25" spans="1:7" ht="14.55" customHeight="1"/>
    <row r="26" spans="1:7" ht="14.4"/>
    <row r="27" spans="1:7" ht="14.4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7:G7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8:F1007"/>
  <sheetViews>
    <sheetView tabSelected="1" workbookViewId="0">
      <selection activeCell="M8" sqref="M8"/>
    </sheetView>
  </sheetViews>
  <sheetFormatPr defaultColWidth="14.44140625" defaultRowHeight="15" customHeight="1"/>
  <cols>
    <col min="1" max="1" width="15.109375" customWidth="1"/>
    <col min="2" max="6" width="14.6640625" customWidth="1"/>
    <col min="7" max="26" width="8.6640625" customWidth="1"/>
  </cols>
  <sheetData>
    <row r="8" spans="1:6" ht="17.399999999999999">
      <c r="A8" s="49" t="s">
        <v>71</v>
      </c>
      <c r="B8" s="49"/>
      <c r="C8" s="49"/>
      <c r="D8" s="49"/>
      <c r="E8" s="49"/>
      <c r="F8" s="49"/>
    </row>
    <row r="10" spans="1:6" ht="14.4">
      <c r="A10" s="6" t="s">
        <v>72</v>
      </c>
      <c r="B10" s="7" t="s">
        <v>73</v>
      </c>
      <c r="C10" s="7" t="s">
        <v>74</v>
      </c>
      <c r="D10" s="7" t="s">
        <v>75</v>
      </c>
      <c r="E10" s="7" t="s">
        <v>76</v>
      </c>
      <c r="F10" s="8" t="s">
        <v>77</v>
      </c>
    </row>
    <row r="11" spans="1:6" ht="14.4">
      <c r="A11" s="9" t="s">
        <v>78</v>
      </c>
      <c r="B11" s="10">
        <v>4520</v>
      </c>
      <c r="C11" s="11">
        <v>3620</v>
      </c>
      <c r="D11" s="11">
        <v>2560</v>
      </c>
      <c r="E11" s="11">
        <v>2750</v>
      </c>
      <c r="F11" s="12">
        <f t="shared" ref="F11:F15" si="0">SUM(B11:E11)</f>
        <v>13450</v>
      </c>
    </row>
    <row r="12" spans="1:6" ht="14.4">
      <c r="A12" s="9" t="s">
        <v>79</v>
      </c>
      <c r="B12" s="13">
        <v>3220</v>
      </c>
      <c r="C12" s="14">
        <v>5230</v>
      </c>
      <c r="D12" s="14">
        <v>4550</v>
      </c>
      <c r="E12" s="14">
        <v>5400</v>
      </c>
      <c r="F12" s="15">
        <f t="shared" si="0"/>
        <v>18400</v>
      </c>
    </row>
    <row r="13" spans="1:6" ht="14.4">
      <c r="A13" s="9" t="s">
        <v>80</v>
      </c>
      <c r="B13" s="13">
        <v>4560</v>
      </c>
      <c r="C13" s="14">
        <v>2320</v>
      </c>
      <c r="D13" s="14">
        <v>3220</v>
      </c>
      <c r="E13" s="14">
        <v>2320</v>
      </c>
      <c r="F13" s="15">
        <f t="shared" si="0"/>
        <v>12420</v>
      </c>
    </row>
    <row r="14" spans="1:6" ht="14.4">
      <c r="A14" s="9" t="s">
        <v>81</v>
      </c>
      <c r="B14" s="13">
        <v>5600</v>
      </c>
      <c r="C14" s="14">
        <v>6510</v>
      </c>
      <c r="D14" s="14">
        <v>5660</v>
      </c>
      <c r="E14" s="14">
        <v>4500</v>
      </c>
      <c r="F14" s="15">
        <f t="shared" si="0"/>
        <v>22270</v>
      </c>
    </row>
    <row r="15" spans="1:6" ht="14.4">
      <c r="A15" s="16" t="s">
        <v>82</v>
      </c>
      <c r="B15" s="13">
        <v>2330</v>
      </c>
      <c r="C15" s="14">
        <v>4520</v>
      </c>
      <c r="D15" s="14">
        <v>5500</v>
      </c>
      <c r="E15" s="14">
        <v>4510</v>
      </c>
      <c r="F15" s="15">
        <f t="shared" si="0"/>
        <v>16860</v>
      </c>
    </row>
    <row r="18" ht="14.55" customHeight="1"/>
    <row r="19" ht="14.4"/>
    <row r="20" ht="14.4"/>
    <row r="21" ht="14.4"/>
    <row r="22" ht="14.4"/>
    <row r="23" ht="14.4"/>
    <row r="24" ht="14.4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8:F8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E1008"/>
  <sheetViews>
    <sheetView topLeftCell="A9" workbookViewId="0">
      <selection activeCell="H28" sqref="H28"/>
    </sheetView>
  </sheetViews>
  <sheetFormatPr defaultColWidth="14.44140625" defaultRowHeight="15" customHeight="1"/>
  <cols>
    <col min="1" max="5" width="14.6640625" customWidth="1"/>
    <col min="6" max="26" width="8.6640625" customWidth="1"/>
  </cols>
  <sheetData>
    <row r="7" spans="1:5" ht="15" customHeight="1">
      <c r="A7" s="49" t="s">
        <v>83</v>
      </c>
      <c r="B7" s="49"/>
      <c r="C7" s="49"/>
      <c r="D7" s="49"/>
      <c r="E7" s="49"/>
    </row>
    <row r="9" spans="1:5" ht="14.4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</row>
    <row r="10" spans="1:5" ht="14.4">
      <c r="A10" s="2" t="s">
        <v>6</v>
      </c>
      <c r="B10" s="3" t="s">
        <v>7</v>
      </c>
      <c r="C10" s="3">
        <v>99</v>
      </c>
      <c r="D10" s="4">
        <v>10</v>
      </c>
      <c r="E10" s="5">
        <f t="shared" ref="E10:E31" si="0">C10*D10</f>
        <v>990</v>
      </c>
    </row>
    <row r="11" spans="1:5" ht="14.4">
      <c r="A11" s="2" t="s">
        <v>6</v>
      </c>
      <c r="B11" s="3" t="s">
        <v>8</v>
      </c>
      <c r="C11" s="3">
        <v>61</v>
      </c>
      <c r="D11" s="4">
        <v>13</v>
      </c>
      <c r="E11" s="5">
        <f t="shared" si="0"/>
        <v>793</v>
      </c>
    </row>
    <row r="12" spans="1:5" ht="14.4">
      <c r="A12" s="2" t="s">
        <v>6</v>
      </c>
      <c r="B12" s="3" t="s">
        <v>9</v>
      </c>
      <c r="C12" s="3">
        <v>28</v>
      </c>
      <c r="D12" s="4">
        <v>13.5</v>
      </c>
      <c r="E12" s="5">
        <f t="shared" si="0"/>
        <v>378</v>
      </c>
    </row>
    <row r="13" spans="1:5" ht="14.4">
      <c r="A13" s="2" t="s">
        <v>6</v>
      </c>
      <c r="B13" s="3" t="s">
        <v>10</v>
      </c>
      <c r="C13" s="3">
        <v>75</v>
      </c>
      <c r="D13" s="4">
        <v>11.2</v>
      </c>
      <c r="E13" s="5">
        <f t="shared" si="0"/>
        <v>840</v>
      </c>
    </row>
    <row r="14" spans="1:5" ht="15" customHeight="1">
      <c r="A14" s="2" t="s">
        <v>6</v>
      </c>
      <c r="B14" s="3" t="s">
        <v>10</v>
      </c>
      <c r="C14" s="3">
        <v>80</v>
      </c>
      <c r="D14" s="4">
        <v>11.2</v>
      </c>
      <c r="E14" s="5">
        <f t="shared" si="0"/>
        <v>896</v>
      </c>
    </row>
    <row r="15" spans="1:5" ht="15" customHeight="1">
      <c r="A15" s="2" t="s">
        <v>6</v>
      </c>
      <c r="B15" s="3" t="s">
        <v>10</v>
      </c>
      <c r="C15" s="3">
        <v>80</v>
      </c>
      <c r="D15" s="4">
        <v>11.2</v>
      </c>
      <c r="E15" s="5">
        <f t="shared" si="0"/>
        <v>896</v>
      </c>
    </row>
    <row r="16" spans="1:5" ht="15" customHeight="1">
      <c r="A16" s="3" t="s">
        <v>11</v>
      </c>
      <c r="B16" s="3" t="s">
        <v>7</v>
      </c>
      <c r="C16" s="3">
        <v>75</v>
      </c>
      <c r="D16" s="4">
        <v>11</v>
      </c>
      <c r="E16" s="5">
        <f t="shared" si="0"/>
        <v>825</v>
      </c>
    </row>
    <row r="17" spans="1:5" ht="14.4">
      <c r="A17" s="3" t="s">
        <v>11</v>
      </c>
      <c r="B17" s="3" t="s">
        <v>8</v>
      </c>
      <c r="C17" s="3">
        <v>75</v>
      </c>
      <c r="D17" s="4">
        <v>12.65</v>
      </c>
      <c r="E17" s="5">
        <f t="shared" si="0"/>
        <v>948.75</v>
      </c>
    </row>
    <row r="18" spans="1:5" ht="14.4">
      <c r="A18" s="3" t="s">
        <v>11</v>
      </c>
      <c r="B18" s="3" t="s">
        <v>8</v>
      </c>
      <c r="C18" s="3">
        <v>68</v>
      </c>
      <c r="D18" s="4">
        <v>12.65</v>
      </c>
      <c r="E18" s="5">
        <f t="shared" si="0"/>
        <v>860.2</v>
      </c>
    </row>
    <row r="19" spans="1:5" ht="14.4">
      <c r="A19" s="3" t="s">
        <v>11</v>
      </c>
      <c r="B19" s="3" t="s">
        <v>9</v>
      </c>
      <c r="C19" s="3">
        <v>86</v>
      </c>
      <c r="D19" s="4">
        <v>10</v>
      </c>
      <c r="E19" s="5">
        <f t="shared" si="0"/>
        <v>860</v>
      </c>
    </row>
    <row r="20" spans="1:5" ht="14.4">
      <c r="A20" s="3" t="s">
        <v>11</v>
      </c>
      <c r="B20" s="3" t="s">
        <v>10</v>
      </c>
      <c r="C20" s="3">
        <v>55</v>
      </c>
      <c r="D20" s="4">
        <v>12.55</v>
      </c>
      <c r="E20" s="5">
        <f t="shared" si="0"/>
        <v>690.25</v>
      </c>
    </row>
    <row r="21" spans="1:5" ht="14.4">
      <c r="A21" s="3" t="s">
        <v>11</v>
      </c>
      <c r="B21" s="3" t="s">
        <v>10</v>
      </c>
      <c r="C21" s="3">
        <v>65</v>
      </c>
      <c r="D21" s="4">
        <v>12.55</v>
      </c>
      <c r="E21" s="5">
        <f t="shared" si="0"/>
        <v>815.75</v>
      </c>
    </row>
    <row r="22" spans="1:5" ht="14.4">
      <c r="A22" s="3" t="s">
        <v>12</v>
      </c>
      <c r="B22" s="3" t="s">
        <v>7</v>
      </c>
      <c r="C22" s="3">
        <v>95</v>
      </c>
      <c r="D22" s="4">
        <v>10.55</v>
      </c>
      <c r="E22" s="5">
        <f t="shared" si="0"/>
        <v>1002.25</v>
      </c>
    </row>
    <row r="23" spans="1:5" ht="14.4">
      <c r="A23" s="3" t="s">
        <v>12</v>
      </c>
      <c r="B23" s="3" t="s">
        <v>8</v>
      </c>
      <c r="C23" s="3">
        <v>95</v>
      </c>
      <c r="D23" s="4">
        <v>10.55</v>
      </c>
      <c r="E23" s="5">
        <f t="shared" si="0"/>
        <v>1002.25</v>
      </c>
    </row>
    <row r="24" spans="1:5" ht="14.4">
      <c r="A24" s="3" t="s">
        <v>12</v>
      </c>
      <c r="B24" s="3" t="s">
        <v>9</v>
      </c>
      <c r="C24" s="3">
        <v>90</v>
      </c>
      <c r="D24" s="4">
        <v>10.9</v>
      </c>
      <c r="E24" s="5">
        <f t="shared" si="0"/>
        <v>981</v>
      </c>
    </row>
    <row r="25" spans="1:5" ht="14.4">
      <c r="A25" s="3" t="s">
        <v>12</v>
      </c>
      <c r="B25" s="3" t="s">
        <v>9</v>
      </c>
      <c r="C25" s="3">
        <v>110</v>
      </c>
      <c r="D25" s="4">
        <v>10.9</v>
      </c>
      <c r="E25" s="5">
        <f t="shared" si="0"/>
        <v>1199</v>
      </c>
    </row>
    <row r="26" spans="1:5" ht="14.4">
      <c r="A26" s="3" t="s">
        <v>12</v>
      </c>
      <c r="B26" s="3" t="s">
        <v>10</v>
      </c>
      <c r="C26" s="3">
        <v>95</v>
      </c>
      <c r="D26" s="4">
        <v>10.55</v>
      </c>
      <c r="E26" s="5">
        <f t="shared" si="0"/>
        <v>1002.25</v>
      </c>
    </row>
    <row r="27" spans="1:5" ht="14.4">
      <c r="A27" s="3" t="s">
        <v>13</v>
      </c>
      <c r="B27" s="3" t="s">
        <v>7</v>
      </c>
      <c r="C27" s="3">
        <v>52</v>
      </c>
      <c r="D27" s="4">
        <v>12</v>
      </c>
      <c r="E27" s="5">
        <f t="shared" si="0"/>
        <v>624</v>
      </c>
    </row>
    <row r="28" spans="1:5" ht="14.4">
      <c r="A28" s="3" t="s">
        <v>13</v>
      </c>
      <c r="B28" s="3" t="s">
        <v>8</v>
      </c>
      <c r="C28" s="3">
        <v>85</v>
      </c>
      <c r="D28" s="4">
        <v>11</v>
      </c>
      <c r="E28" s="5">
        <f t="shared" si="0"/>
        <v>935</v>
      </c>
    </row>
    <row r="29" spans="1:5" ht="15.75" customHeight="1">
      <c r="A29" s="3" t="s">
        <v>13</v>
      </c>
      <c r="B29" s="3" t="s">
        <v>9</v>
      </c>
      <c r="C29" s="3">
        <v>92</v>
      </c>
      <c r="D29" s="4">
        <v>11.5</v>
      </c>
      <c r="E29" s="5">
        <f t="shared" si="0"/>
        <v>1058</v>
      </c>
    </row>
    <row r="30" spans="1:5" ht="15.75" customHeight="1">
      <c r="A30" s="3" t="s">
        <v>13</v>
      </c>
      <c r="B30" s="3" t="s">
        <v>9</v>
      </c>
      <c r="C30" s="3">
        <v>95</v>
      </c>
      <c r="D30" s="4">
        <v>10.55</v>
      </c>
      <c r="E30" s="5">
        <f t="shared" si="0"/>
        <v>1002.25</v>
      </c>
    </row>
    <row r="31" spans="1:5" ht="15.75" customHeight="1">
      <c r="A31" s="3" t="s">
        <v>13</v>
      </c>
      <c r="B31" s="3" t="s">
        <v>9</v>
      </c>
      <c r="C31" s="3">
        <v>90</v>
      </c>
      <c r="D31" s="4">
        <v>10.55</v>
      </c>
      <c r="E31" s="5">
        <f t="shared" si="0"/>
        <v>949.5</v>
      </c>
    </row>
    <row r="32" spans="1:5" ht="15.75" customHeight="1"/>
    <row r="33" spans="2:4" ht="15.75" customHeight="1"/>
    <row r="34" spans="2:4" ht="15.75" customHeight="1"/>
    <row r="35" spans="2:4" ht="15.75" customHeight="1">
      <c r="B35" s="51" t="s">
        <v>84</v>
      </c>
      <c r="C35" s="52"/>
      <c r="D35">
        <f>MAX(E10:E31)</f>
        <v>1199</v>
      </c>
    </row>
    <row r="36" spans="2:4" ht="15.75" customHeight="1"/>
    <row r="37" spans="2:4" ht="15.75" customHeight="1"/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7:E7"/>
    <mergeCell ref="B35:C35"/>
  </mergeCells>
  <pageMargins left="0.7" right="0.7" top="0.75" bottom="0.75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Product</vt:lpstr>
      <vt:lpstr>sales person</vt:lpstr>
      <vt:lpstr>Division</vt:lpstr>
      <vt:lpstr>Circulation summary</vt:lpstr>
      <vt:lpstr>New Hires</vt:lpstr>
      <vt:lpstr>Total</vt:lpstr>
      <vt:lpstr>Sales</vt:lpstr>
      <vt:lpstr>Circulation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NAVYA R NAIR</cp:lastModifiedBy>
  <dcterms:created xsi:type="dcterms:W3CDTF">2022-01-10T07:44:00Z</dcterms:created>
  <dcterms:modified xsi:type="dcterms:W3CDTF">2025-12-26T05:43:41Z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5609B50AE19E4D75943DC5CE4BB02C4C_12</vt:lpwstr>
  </property>
  <property fmtid="{D5CDD505-2E9C-101B-9397-08002B2CF9AE}" pid="3" name="KSOProductBuildVer">
    <vt:lpwstr>1033-12.2.0.23196</vt:lpwstr>
  </property>
</Properties>
</file>