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E1B19FF-5E57-44F5-BC7C-07E20717E2A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Employee info" sheetId="1" r:id="rId1"/>
    <sheet name="Sales 2020" sheetId="2" r:id="rId2"/>
    <sheet name="Sales person" sheetId="3" r:id="rId3"/>
    <sheet name="Segment" sheetId="4" r:id="rId4"/>
    <sheet name="Division" sheetId="5" r:id="rId5"/>
    <sheet name="Insurance policy" sheetId="6" r:id="rId6"/>
    <sheet name="Contac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7" l="1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11" i="7"/>
  <c r="I13" i="6"/>
  <c r="I14" i="6"/>
  <c r="I15" i="6"/>
  <c r="I16" i="6"/>
  <c r="I17" i="6"/>
  <c r="I18" i="6"/>
  <c r="I19" i="6"/>
  <c r="I20" i="6"/>
  <c r="I12" i="6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12" i="4"/>
  <c r="H13" i="6"/>
  <c r="H14" i="6"/>
  <c r="H15" i="6"/>
  <c r="H16" i="6"/>
  <c r="H17" i="6"/>
  <c r="H18" i="6"/>
  <c r="H19" i="6"/>
  <c r="H20" i="6"/>
  <c r="H12" i="6"/>
  <c r="E31" i="3" l="1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F17" i="2" l="1"/>
  <c r="F16" i="2"/>
  <c r="F15" i="2"/>
  <c r="F14" i="2"/>
  <c r="F13" i="2"/>
</calcChain>
</file>

<file path=xl/sharedStrings.xml><?xml version="1.0" encoding="utf-8"?>
<sst xmlns="http://schemas.openxmlformats.org/spreadsheetml/2006/main" count="317" uniqueCount="140">
  <si>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</si>
  <si>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</si>
  <si>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</si>
  <si>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</si>
  <si>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</si>
  <si>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</si>
  <si>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</si>
  <si>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</si>
  <si>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Al-Sabah</t>
  </si>
  <si>
    <t>Daoud</t>
  </si>
  <si>
    <t>HR</t>
  </si>
  <si>
    <t>daouda</t>
  </si>
  <si>
    <t>Building 3</t>
  </si>
  <si>
    <t>Alstain</t>
  </si>
  <si>
    <t>Isolde</t>
  </si>
  <si>
    <t>isoldea</t>
  </si>
  <si>
    <t>Atherly</t>
  </si>
  <si>
    <t>Katherine</t>
  </si>
  <si>
    <t>kathya</t>
  </si>
  <si>
    <t>Atherton</t>
  </si>
  <si>
    <t>Katie</t>
  </si>
  <si>
    <t>katiea</t>
  </si>
  <si>
    <t>Bankler</t>
  </si>
  <si>
    <t>Rowena</t>
  </si>
  <si>
    <t>SA</t>
  </si>
  <si>
    <t>rowenab</t>
  </si>
  <si>
    <t>Barton</t>
  </si>
  <si>
    <t>Eileen</t>
  </si>
  <si>
    <t>AT</t>
  </si>
  <si>
    <t>eileenb</t>
  </si>
  <si>
    <t>Building 1</t>
  </si>
  <si>
    <t>Bell</t>
  </si>
  <si>
    <t>Tom</t>
  </si>
  <si>
    <t>AC</t>
  </si>
  <si>
    <t>tomb</t>
  </si>
  <si>
    <t>Building 2</t>
  </si>
  <si>
    <t>Bellwood</t>
  </si>
  <si>
    <t>Frank</t>
  </si>
  <si>
    <t>MK</t>
  </si>
  <si>
    <t>frankb</t>
  </si>
  <si>
    <t>Berwick</t>
  </si>
  <si>
    <t>Elaine</t>
  </si>
  <si>
    <t>eberwick</t>
  </si>
  <si>
    <t>Sam</t>
  </si>
  <si>
    <t>samb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</si>
  <si>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</si>
  <si>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</si>
  <si>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</si>
  <si>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</si>
  <si>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</si>
  <si>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</si>
  <si>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</si>
  <si>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</si>
  <si>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</si>
  <si>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</si>
  <si>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</si>
  <si>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SALES 2020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</si>
  <si>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</si>
  <si>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</si>
  <si>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</si>
  <si>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</si>
  <si>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</si>
  <si>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</si>
  <si>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</si>
  <si>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</si>
  <si>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</si>
  <si>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</si>
  <si>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</si>
  <si>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</si>
  <si>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</si>
  <si>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Segment</t>
  </si>
  <si>
    <t>Country</t>
  </si>
  <si>
    <t>Discount Band</t>
  </si>
  <si>
    <t>Units Sold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</si>
  <si>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</si>
  <si>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</si>
  <si>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</si>
  <si>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</si>
  <si>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</si>
  <si>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</si>
  <si>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</si>
  <si>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</si>
  <si>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</si>
  <si>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</si>
  <si>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</si>
  <si>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</si>
  <si>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</si>
  <si>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</si>
  <si>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sl.no</t>
  </si>
  <si>
    <t>Bonus</t>
  </si>
  <si>
    <t>Division</t>
  </si>
  <si>
    <t>Category</t>
  </si>
  <si>
    <t>Jan</t>
  </si>
  <si>
    <t>Feb</t>
  </si>
  <si>
    <t>Mar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</si>
  <si>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</si>
  <si>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</si>
  <si>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</si>
  <si>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</si>
  <si>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</si>
  <si>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</si>
  <si>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</si>
  <si>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</si>
  <si>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</si>
  <si>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</si>
  <si>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</si>
  <si>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</si>
  <si>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</si>
  <si>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</si>
  <si>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</si>
  <si>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North</t>
  </si>
  <si>
    <t>Win/Loss</t>
  </si>
  <si>
    <t>INSURANCE POLICIES</t>
  </si>
  <si>
    <t>Boughton</t>
  </si>
  <si>
    <t>Brwyne</t>
  </si>
  <si>
    <t>Chang</t>
  </si>
  <si>
    <t>Cooper</t>
  </si>
  <si>
    <t>Cortlandt</t>
  </si>
  <si>
    <t>JANUARY</t>
  </si>
  <si>
    <t>FEBRUARY</t>
  </si>
  <si>
    <t>MARCH</t>
  </si>
  <si>
    <t>APRIL</t>
  </si>
  <si>
    <t>MAY</t>
  </si>
  <si>
    <t>JUNE</t>
  </si>
  <si>
    <t>TOTAL</t>
  </si>
  <si>
    <t>INACTIVE MONTHS</t>
  </si>
  <si>
    <t>AGENT</t>
  </si>
  <si>
    <t>AD</t>
  </si>
  <si>
    <t>Melia</t>
  </si>
  <si>
    <t>Jessica</t>
  </si>
  <si>
    <t>MF</t>
  </si>
  <si>
    <t>Linda</t>
  </si>
  <si>
    <t>Charles</t>
  </si>
  <si>
    <t>Email</t>
  </si>
  <si>
    <t>EMPLOYEE INFO</t>
  </si>
  <si>
    <t>CONTACT</t>
  </si>
  <si>
    <t>SALES PERSON</t>
  </si>
  <si>
    <t>SEGMENT</t>
  </si>
  <si>
    <t>DIVISION</t>
  </si>
  <si>
    <t>www.salesmanagerhp.com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</si>
</sst>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-mmm\-yy"/>
    <numFmt numFmtId="168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i/>
      <sz val="11"/>
      <color indexed="9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MS Sans Serif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8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indexed="22"/>
        <bgColor indexed="2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theme="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8" fillId="0" borderId="0"/>
    <xf numFmtId="0" fontId="10" fillId="0" borderId="0"/>
    <xf numFmtId="164" fontId="10" fillId="0" borderId="0" applyFont="0" applyFill="0" applyBorder="0" applyAlignment="0" applyProtection="0"/>
    <xf numFmtId="0" fontId="13" fillId="0" borderId="16" applyNumberFormat="0" applyFill="0" applyAlignment="0" applyProtection="0"/>
    <xf numFmtId="0" fontId="14" fillId="0" borderId="0" applyNumberFormat="0" applyFill="0" applyBorder="0" applyAlignment="0" applyProtection="0"/>
  </cellStyleXfs>
  <cellXfs count="62">
    <xf numFmtId="0" fontId="0" fillId="0" borderId="0" xfId="0"/>
    <xf numFmtId="0" fontId="3" fillId="3" borderId="4" xfId="2" applyFill="1" applyBorder="1" applyAlignment="1">
      <alignment horizontal="center" vertical="center" wrapText="1"/>
    </xf>
    <xf numFmtId="167" fontId="3" fillId="3" borderId="5" xfId="2" applyNumberFormat="1" applyFill="1" applyBorder="1" applyAlignment="1">
      <alignment horizontal="center" vertical="center" wrapText="1"/>
    </xf>
    <xf numFmtId="0" fontId="3" fillId="0" borderId="6" xfId="2" applyBorder="1" applyAlignment="1">
      <alignment horizontal="center" vertical="center" wrapText="1"/>
    </xf>
    <xf numFmtId="167" fontId="3" fillId="0" borderId="3" xfId="2" applyNumberFormat="1" applyBorder="1" applyAlignment="1">
      <alignment horizontal="center" vertical="center" wrapText="1"/>
    </xf>
    <xf numFmtId="0" fontId="3" fillId="3" borderId="6" xfId="2" applyFill="1" applyBorder="1" applyAlignment="1">
      <alignment horizontal="center" vertical="center" wrapText="1"/>
    </xf>
    <xf numFmtId="167" fontId="3" fillId="3" borderId="3" xfId="2" applyNumberFormat="1" applyFill="1" applyBorder="1" applyAlignment="1">
      <alignment horizontal="center" vertical="center" wrapText="1"/>
    </xf>
    <xf numFmtId="168" fontId="0" fillId="0" borderId="8" xfId="1" applyNumberFormat="1" applyFont="1" applyBorder="1" applyAlignment="1">
      <alignment horizontal="center"/>
    </xf>
    <xf numFmtId="0" fontId="9" fillId="2" borderId="1" xfId="3" applyFont="1" applyFill="1" applyBorder="1" applyAlignment="1">
      <alignment horizontal="center"/>
    </xf>
    <xf numFmtId="0" fontId="10" fillId="0" borderId="0" xfId="4"/>
    <xf numFmtId="0" fontId="8" fillId="0" borderId="0" xfId="3"/>
    <xf numFmtId="164" fontId="8" fillId="0" borderId="0" xfId="5" applyFont="1"/>
    <xf numFmtId="164" fontId="8" fillId="0" borderId="0" xfId="5" applyFont="1" applyAlignment="1">
      <alignment horizontal="right"/>
    </xf>
    <xf numFmtId="0" fontId="2" fillId="5" borderId="9" xfId="0" applyFont="1" applyFill="1" applyBorder="1"/>
    <xf numFmtId="0" fontId="2" fillId="5" borderId="10" xfId="0" applyFont="1" applyFill="1" applyBorder="1"/>
    <xf numFmtId="165" fontId="2" fillId="5" borderId="10" xfId="1" applyFont="1" applyFill="1" applyBorder="1"/>
    <xf numFmtId="0" fontId="0" fillId="0" borderId="9" xfId="0" applyBorder="1"/>
    <xf numFmtId="0" fontId="0" fillId="0" borderId="10" xfId="0" applyBorder="1"/>
    <xf numFmtId="165" fontId="0" fillId="0" borderId="10" xfId="1" applyFont="1" applyBorder="1"/>
    <xf numFmtId="165" fontId="11" fillId="6" borderId="11" xfId="0" applyNumberFormat="1" applyFont="1" applyFill="1" applyBorder="1" applyAlignment="1">
      <alignment horizontal="left"/>
    </xf>
    <xf numFmtId="166" fontId="11" fillId="6" borderId="10" xfId="0" applyNumberFormat="1" applyFont="1" applyFill="1" applyBorder="1" applyAlignment="1">
      <alignment horizontal="left"/>
    </xf>
    <xf numFmtId="165" fontId="12" fillId="6" borderId="10" xfId="1" applyFont="1" applyFill="1" applyBorder="1" applyAlignment="1"/>
    <xf numFmtId="166" fontId="11" fillId="6" borderId="11" xfId="0" applyNumberFormat="1" applyFont="1" applyFill="1" applyBorder="1" applyAlignment="1">
      <alignment horizontal="left"/>
    </xf>
    <xf numFmtId="165" fontId="11" fillId="6" borderId="12" xfId="0" applyNumberFormat="1" applyFont="1" applyFill="1" applyBorder="1" applyAlignment="1">
      <alignment horizontal="left"/>
    </xf>
    <xf numFmtId="166" fontId="11" fillId="6" borderId="13" xfId="0" applyNumberFormat="1" applyFont="1" applyFill="1" applyBorder="1" applyAlignment="1">
      <alignment horizontal="left"/>
    </xf>
    <xf numFmtId="165" fontId="12" fillId="6" borderId="13" xfId="1" applyFont="1" applyFill="1" applyBorder="1" applyAlignment="1"/>
    <xf numFmtId="0" fontId="0" fillId="0" borderId="0" xfId="0" applyAlignment="1">
      <alignment horizontal="center"/>
    </xf>
    <xf numFmtId="0" fontId="3" fillId="0" borderId="14" xfId="2" applyBorder="1" applyAlignment="1">
      <alignment horizontal="center" vertical="center" wrapText="1"/>
    </xf>
    <xf numFmtId="0" fontId="3" fillId="0" borderId="2" xfId="2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9" borderId="4" xfId="2" applyFill="1" applyBorder="1" applyAlignment="1">
      <alignment horizontal="center" vertical="center" wrapText="1"/>
    </xf>
    <xf numFmtId="0" fontId="3" fillId="9" borderId="6" xfId="2" applyFill="1" applyBorder="1" applyAlignment="1">
      <alignment horizontal="center" vertical="center" wrapText="1"/>
    </xf>
    <xf numFmtId="0" fontId="3" fillId="9" borderId="7" xfId="2" applyFill="1" applyBorder="1" applyAlignment="1">
      <alignment horizontal="center" vertical="center" wrapText="1"/>
    </xf>
    <xf numFmtId="0" fontId="4" fillId="8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6" fillId="4" borderId="17" xfId="0" applyFont="1" applyFill="1" applyBorder="1" applyAlignment="1">
      <alignment horizontal="right"/>
    </xf>
    <xf numFmtId="168" fontId="0" fillId="0" borderId="18" xfId="0" applyNumberFormat="1" applyBorder="1"/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right"/>
    </xf>
    <xf numFmtId="168" fontId="0" fillId="0" borderId="23" xfId="1" applyNumberFormat="1" applyFont="1" applyBorder="1" applyAlignment="1">
      <alignment horizontal="center"/>
    </xf>
    <xf numFmtId="168" fontId="0" fillId="0" borderId="24" xfId="0" applyNumberFormat="1" applyBorder="1"/>
    <xf numFmtId="0" fontId="4" fillId="2" borderId="25" xfId="0" applyFont="1" applyFill="1" applyBorder="1"/>
    <xf numFmtId="0" fontId="4" fillId="2" borderId="0" xfId="0" applyFont="1" applyFill="1"/>
    <xf numFmtId="0" fontId="13" fillId="0" borderId="16" xfId="6" applyAlignment="1">
      <alignment horizontal="center"/>
    </xf>
    <xf numFmtId="0" fontId="7" fillId="10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" fillId="2" borderId="0" xfId="2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0" xfId="0" applyFont="1"/>
    <xf numFmtId="0" fontId="16" fillId="0" borderId="0" xfId="7" applyFont="1"/>
    <xf numFmtId="0" fontId="17" fillId="0" borderId="0" xfId="0" applyFont="1"/>
    <xf numFmtId="0" fontId="18" fillId="0" borderId="0" xfId="0" applyFont="1"/>
    <xf numFmtId="0" fontId="0" fillId="0" borderId="9" xfId="0" applyFont="1" applyBorder="1"/>
    <xf numFmtId="0" fontId="0" fillId="0" borderId="10" xfId="0" applyFont="1" applyBorder="1"/>
    <xf numFmtId="165" fontId="0" fillId="0" borderId="10" xfId="1" applyNumberFormat="1" applyFont="1" applyBorder="1"/>
    <xf numFmtId="0" fontId="0" fillId="0" borderId="25" xfId="0" applyFont="1" applyBorder="1"/>
    <xf numFmtId="0" fontId="0" fillId="0" borderId="0" xfId="0" applyFont="1" applyBorder="1"/>
    <xf numFmtId="165" fontId="0" fillId="0" borderId="0" xfId="1" applyNumberFormat="1" applyFont="1" applyBorder="1"/>
    <xf numFmtId="0" fontId="14" fillId="9" borderId="15" xfId="7" applyFill="1" applyBorder="1"/>
  </cellXfs>
  <cellStyles count="8">
    <cellStyle name="Currency" xfId="1" builtinId="4"/>
    <cellStyle name="Currency_EXCEL3-2" xfId="5" xr:uid="{00000000-0005-0000-0000-000001000000}"/>
    <cellStyle name="Heading 2" xfId="6" builtinId="17"/>
    <cellStyle name="Hyperlink" xfId="7" builtinId="8"/>
    <cellStyle name="Normal" xfId="0" builtinId="0"/>
    <cellStyle name="Normal_EXCEL3-2" xfId="4" xr:uid="{00000000-0005-0000-0000-000004000000}"/>
    <cellStyle name="Normal_Sheet1" xfId="3" xr:uid="{00000000-0005-0000-0000-000005000000}"/>
    <cellStyle name="Normal_Sheet1_1" xfId="2" xr:uid="{00000000-0005-0000-0000-000006000000}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22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numFmt numFmtId="0" formatCode="General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1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\-mmm\-yy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/>
      </border>
    </dxf>
    <dxf>
      <border outline="0">
        <top style="thin">
          <color theme="4"/>
        </top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relativeIndent="0" justifyLastLine="0" shrinkToFit="0" readingOrder="0"/>
    </dxf>
    <dxf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165" formatCode="_(&quot;$&quot;* #,##0.00_);_(&quot;$&quot;* \(#,##0.00\);_(&quot;$&quot;* &quot;-&quot;??_);_(@_)"/>
      <fill>
        <patternFill patternType="solid">
          <fgColor indexed="24"/>
          <bgColor indexed="22"/>
        </patternFill>
      </fill>
      <alignment horizontal="general" vertical="bottom" textRotation="0" wrapText="0" relative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165" formatCode="_(&quot;$&quot;* #,##0.00_);_(&quot;$&quot;* \(#,##0.00\);_(&quot;$&quot;* &quot;-&quot;??_);_(@_)"/>
      <fill>
        <patternFill patternType="solid">
          <fgColor indexed="24"/>
          <bgColor indexed="22"/>
        </patternFill>
      </fill>
      <alignment horizontal="general" vertical="bottom" textRotation="0" wrapText="0" relative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numFmt numFmtId="165" formatCode="_(&quot;$&quot;* #,##0.00_);_(&quot;$&quot;* \(#,##0.00\);_(&quot;$&quot;* &quot;-&quot;??_);_(@_)"/>
      <fill>
        <patternFill patternType="solid">
          <fgColor indexed="24"/>
          <bgColor indexed="22"/>
        </patternFill>
      </fill>
      <alignment horizontal="general" vertical="bottom" textRotation="0" wrapText="0" relative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_(* #,##0.00_);_(* \(#,##0.00\);_(* &quot;-&quot;??_);_(@_)"/>
      <fill>
        <patternFill patternType="solid">
          <fgColor indexed="24"/>
          <bgColor indexed="22"/>
        </patternFill>
      </fill>
      <alignment horizontal="left" vertical="bottom" textRotation="0" wrapText="0" relative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_(* #,##0.00_);_(* \(#,##0.00\);_(* &quot;-&quot;??_);_(@_)"/>
      <fill>
        <patternFill patternType="solid">
          <fgColor indexed="24"/>
          <bgColor indexed="22"/>
        </patternFill>
      </fill>
      <alignment horizontal="left" vertical="bottom" textRotation="0" wrapText="0" relativeIndent="0" justifyLastLine="0" shrinkToFit="0" readingOrder="0"/>
      <border diagonalUp="0" diagonalDown="0">
        <left style="medium">
          <color indexed="64"/>
        </left>
        <right/>
        <top style="thin">
          <color theme="4"/>
        </top>
        <bottom/>
        <vertical/>
        <horizontal/>
      </border>
    </dxf>
    <dxf>
      <border outline="0"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solid">
          <fgColor indexed="24"/>
          <bgColor indexed="22"/>
        </patternFill>
      </fill>
      <alignment horizontal="general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.00_);_(&quot;$&quot;* \(#,##0.00\);_(&quot;$&quot;* &quot;-&quot;??_);_(@_)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.00_);_(&quot;$&quot;* \(#,##0.00\);_(&quot;$&quot;* &quot;-&quot;??_);_(@_)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168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_);_(&quot;$&quot;* \(#,##0\);_(&quot;$&quot;* &quot;-&quot;??_);_(@_)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_);_(&quot;$&quot;* \(#,##0\);_(&quot;$&quot;* &quot;-&quot;??_);_(@_)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_);_(&quot;$&quot;* \(#,##0\);_(&quot;$&quot;* &quot;-&quot;??_);_(@_)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_);_(&quot;$&quot;* \(#,##0\);_(&quot;$&quot;* &quot;-&quot;??_);_(@_)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Arial"/>
        <scheme val="none"/>
      </font>
      <fill>
        <patternFill patternType="solid">
          <fgColor indexed="64"/>
          <bgColor indexed="23"/>
        </patternFill>
      </fill>
      <alignment horizontal="right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</xdr:row>
      <xdr:rowOff>6350</xdr:rowOff>
    </xdr:from>
    <xdr:ext cx="6471452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400" y="190500"/>
          <a:ext cx="6471452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1</a:t>
          </a:r>
        </a:p>
        <a:p>
          <a:r>
            <a:rPr lang="en-US" sz="1400" b="1"/>
            <a:t>On the "employee info" worksheet configure A1:H1 to automatically wrap the text ?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0</xdr:row>
      <xdr:rowOff>171450</xdr:rowOff>
    </xdr:from>
    <xdr:ext cx="9802235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0800" y="171450"/>
          <a:ext cx="9802235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2 :</a:t>
          </a:r>
        </a:p>
        <a:p>
          <a:r>
            <a:rPr lang="en-US" sz="1400" b="1"/>
            <a:t>On the "Sales 2020" worksheet , in cell A2 .insert a hyperlink to </a:t>
          </a:r>
          <a:r>
            <a:rPr lang="en-US" sz="1400" b="1" u="sng"/>
            <a:t>"www.salesmanagerhp.com</a:t>
          </a:r>
          <a:r>
            <a:rPr lang="en-US" sz="1400" b="1"/>
            <a:t>" with a screentip " sales manager".?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196850</xdr:colOff>
      <xdr:row>1</xdr:row>
      <xdr:rowOff>82550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96850" y="26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19050</xdr:colOff>
      <xdr:row>1</xdr:row>
      <xdr:rowOff>19050</xdr:rowOff>
    </xdr:from>
    <xdr:ext cx="6305550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9050" y="203200"/>
          <a:ext cx="630555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3 :</a:t>
          </a:r>
        </a:p>
        <a:p>
          <a:r>
            <a:rPr lang="en-US" sz="1400" b="1"/>
            <a:t>On the "sales person" worksheet display the formulas instead of the values ?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44450</xdr:colOff>
      <xdr:row>1</xdr:row>
      <xdr:rowOff>12700</xdr:rowOff>
    </xdr:from>
    <xdr:ext cx="11023852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4450" y="196850"/>
          <a:ext cx="11023852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4 :</a:t>
          </a:r>
        </a:p>
        <a:p>
          <a:r>
            <a:rPr lang="en-US" sz="1400" b="1"/>
            <a:t>On the "Segment" worksheet in the Bonus column use a function to display "500" if the "unit sold" is greater than 800.Otherwise display "100". ?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25400</xdr:rowOff>
    </xdr:from>
    <xdr:ext cx="9037089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9050" y="209550"/>
          <a:ext cx="9037089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5 :</a:t>
          </a:r>
        </a:p>
        <a:p>
          <a:r>
            <a:rPr lang="en-US" sz="1400" b="1"/>
            <a:t>On the "Divison" worksheet , in cells  F2:F21, insert Win/Loss sparkline to compare the january through march values.?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19050</xdr:rowOff>
    </xdr:from>
    <xdr:ext cx="10822514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387350"/>
          <a:ext cx="10822514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6 :</a:t>
          </a:r>
        </a:p>
        <a:p>
          <a:r>
            <a:rPr lang="en-US" sz="1400" b="1"/>
            <a:t>On the "i</a:t>
          </a:r>
          <a:r>
            <a:rPr lang="en-US" sz="1400" b="1" u="sng"/>
            <a:t>nsurance policy </a:t>
          </a:r>
          <a:r>
            <a:rPr lang="en-US" sz="1400" b="1"/>
            <a:t>" worksheet in the 'inactive months column, use a function to count the number of months with no policies by agent?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177800</xdr:rowOff>
    </xdr:from>
    <xdr:ext cx="12855507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1750" y="177800"/>
          <a:ext cx="12855507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7 :</a:t>
          </a:r>
        </a:p>
        <a:p>
          <a:r>
            <a:rPr lang="en-US" sz="1400" b="1"/>
            <a:t>On the "contact" worksheet, in the "Email Address" column use a function to construct email addresses for each person using the first name and </a:t>
          </a:r>
          <a:r>
            <a:rPr lang="en-US" sz="1400" b="1" u="sng"/>
            <a:t>"@alfainsurance.com"</a:t>
          </a:r>
          <a:r>
            <a:rPr lang="en-US" sz="1400" b="1"/>
            <a:t>. ?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0:H20" totalsRowShown="0" headerRowDxfId="5" dataDxfId="7" tableBorderDxfId="6" headerRowCellStyle="Normal_Sheet1_1" dataCellStyle="Normal_Sheet1_1">
  <autoFilter ref="A10:H20" xr:uid="{00000000-0009-0000-0100-000004000000}"/>
  <tableColumns count="8">
    <tableColumn id="1" xr3:uid="{00000000-0010-0000-0000-000001000000}" name="Emp ID" dataDxfId="15" dataCellStyle="Normal_Sheet1_1"/>
    <tableColumn id="2" xr3:uid="{00000000-0010-0000-0000-000002000000}" name="Last Name" dataDxfId="14" dataCellStyle="Normal_Sheet1_1"/>
    <tableColumn id="3" xr3:uid="{00000000-0010-0000-0000-000003000000}" name="First Name" dataDxfId="13" dataCellStyle="Normal_Sheet1_1"/>
    <tableColumn id="4" xr3:uid="{00000000-0010-0000-0000-000004000000}" name="Dept" dataDxfId="12" dataCellStyle="Normal_Sheet1_1"/>
    <tableColumn id="5" xr3:uid="{00000000-0010-0000-0000-000005000000}" name="E-mail" dataDxfId="11" dataCellStyle="Normal_Sheet1_1"/>
    <tableColumn id="6" xr3:uid="{00000000-0010-0000-0000-000006000000}" name="Phone Ext" dataDxfId="10" dataCellStyle="Normal_Sheet1_1"/>
    <tableColumn id="7" xr3:uid="{00000000-0010-0000-0000-000007000000}" name="Location" dataDxfId="9" dataCellStyle="Normal_Sheet1_1"/>
    <tableColumn id="8" xr3:uid="{00000000-0010-0000-0000-000008000000}" name="Hire Date" dataDxfId="8" dataCellStyle="Normal_Sheet1_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12:F17" totalsRowShown="0" headerRowDxfId="45" dataDxfId="43" headerRowBorderDxfId="44" tableBorderDxfId="42" totalsRowBorderDxfId="41" dataCellStyle="Currency">
  <autoFilter ref="A12:F17" xr:uid="{00000000-0009-0000-0100-000005000000}"/>
  <tableColumns count="6">
    <tableColumn id="1" xr3:uid="{00000000-0010-0000-0100-000001000000}" name="Sales Person" dataDxfId="40"/>
    <tableColumn id="2" xr3:uid="{00000000-0010-0000-0100-000002000000}" name="Week 1" dataDxfId="39" dataCellStyle="Currency"/>
    <tableColumn id="3" xr3:uid="{00000000-0010-0000-0100-000003000000}" name="Week 2" dataDxfId="38" dataCellStyle="Currency"/>
    <tableColumn id="4" xr3:uid="{00000000-0010-0000-0100-000004000000}" name="Week 3" dataDxfId="37" dataCellStyle="Currency"/>
    <tableColumn id="5" xr3:uid="{00000000-0010-0000-0100-000005000000}" name="Week 4" dataDxfId="36" dataCellStyle="Currency"/>
    <tableColumn id="6" xr3:uid="{00000000-0010-0000-0100-000006000000}" name="Totals" dataDxfId="35">
      <calculatedColumnFormula>SUM(B13:E13)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1:G30" totalsRowShown="0">
  <autoFilter ref="A11:G30" xr:uid="{00000000-0009-0000-0100-000002000000}"/>
  <tableColumns count="7">
    <tableColumn id="1" xr3:uid="{00000000-0010-0000-0200-000001000000}" name="sl.no"/>
    <tableColumn id="2" xr3:uid="{00000000-0010-0000-0200-000002000000}" name="Segment" dataDxfId="34"/>
    <tableColumn id="3" xr3:uid="{00000000-0010-0000-0200-000003000000}" name="Country" dataDxfId="33"/>
    <tableColumn id="4" xr3:uid="{00000000-0010-0000-0200-000004000000}" name="Product" dataDxfId="32" dataCellStyle="Currency"/>
    <tableColumn id="5" xr3:uid="{00000000-0010-0000-0200-000005000000}" name="Discount Band" dataDxfId="31" dataCellStyle="Currency"/>
    <tableColumn id="6" xr3:uid="{00000000-0010-0000-0200-000006000000}" name="Units Sold" dataDxfId="30"/>
    <tableColumn id="7" xr3:uid="{00000000-0010-0000-0200-000007000000}" name="Bonus">
      <calculatedColumnFormula>IF(Table2[[#This Row],[Units Sold]]&gt;800,500,100)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2:F32" totalsRowShown="0" headerRowDxfId="29" dataDxfId="28" tableBorderDxfId="27" dataCellStyle="Currency">
  <autoFilter ref="A12:F32" xr:uid="{00000000-0009-0000-0100-000006000000}"/>
  <tableColumns count="6">
    <tableColumn id="1" xr3:uid="{00000000-0010-0000-0300-000001000000}" name="Division" dataDxfId="26"/>
    <tableColumn id="2" xr3:uid="{00000000-0010-0000-0300-000002000000}" name="Category" dataDxfId="25"/>
    <tableColumn id="3" xr3:uid="{00000000-0010-0000-0300-000003000000}" name="Jan" dataDxfId="24" dataCellStyle="Currency"/>
    <tableColumn id="4" xr3:uid="{00000000-0010-0000-0300-000004000000}" name="Feb" dataDxfId="23" dataCellStyle="Currency"/>
    <tableColumn id="5" xr3:uid="{00000000-0010-0000-0300-000005000000}" name="Mar" dataDxfId="22" dataCellStyle="Currency"/>
    <tableColumn id="6" xr3:uid="{00000000-0010-0000-0300-000006000000}" name="Win/Loss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1:I20" totalsRowShown="0" headerRowDxfId="20">
  <autoFilter ref="A11:I20" xr:uid="{00000000-0009-0000-0100-000001000000}"/>
  <tableColumns count="9">
    <tableColumn id="1" xr3:uid="{00000000-0010-0000-0400-000001000000}" name="AGENT" dataDxfId="19" dataCellStyle="Normal_Sheet1_1"/>
    <tableColumn id="2" xr3:uid="{00000000-0010-0000-0400-000002000000}" name="JANUARY"/>
    <tableColumn id="3" xr3:uid="{00000000-0010-0000-0400-000003000000}" name="FEBRUARY"/>
    <tableColumn id="4" xr3:uid="{00000000-0010-0000-0400-000004000000}" name="MARCH"/>
    <tableColumn id="5" xr3:uid="{00000000-0010-0000-0400-000005000000}" name="APRIL"/>
    <tableColumn id="6" xr3:uid="{00000000-0010-0000-0400-000006000000}" name="MAY"/>
    <tableColumn id="7" xr3:uid="{00000000-0010-0000-0400-000007000000}" name="JUNE"/>
    <tableColumn id="8" xr3:uid="{00000000-0010-0000-0400-000008000000}" name="TOTAL"/>
    <tableColumn id="9" xr3:uid="{00000000-0010-0000-0400-000009000000}" name="INACTIVE MONTHS">
      <calculatedColumnFormula>COUNTBLANK(Table1[[#This Row],[JANUARY]:[JUNE]])</calculatedColumnFormula>
    </tableColumn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A10:E25" totalsRowShown="0" headerRowDxfId="18" dataDxfId="17" tableBorderDxfId="16" headerRowCellStyle="Hyperlink" dataCellStyle="Hyperlink">
  <autoFilter ref="A10:E25" xr:uid="{00000000-0009-0000-0100-000003000000}"/>
  <tableColumns count="5">
    <tableColumn id="1" xr3:uid="{00000000-0010-0000-0500-000001000000}" name="Emp ID" dataDxfId="4" dataCellStyle="Normal_Sheet1_1"/>
    <tableColumn id="2" xr3:uid="{00000000-0010-0000-0500-000002000000}" name="Last Name" dataDxfId="3" dataCellStyle="Normal_Sheet1_1"/>
    <tableColumn id="3" xr3:uid="{00000000-0010-0000-0500-000003000000}" name="First Name" dataDxfId="2" dataCellStyle="Normal_Sheet1_1"/>
    <tableColumn id="4" xr3:uid="{00000000-0010-0000-0500-000004000000}" name="Dept" dataDxfId="1" dataCellStyle="Normal_Sheet1_1"/>
    <tableColumn id="5" xr3:uid="{00000000-0010-0000-0500-000005000000}" name="Email" dataDxfId="0">
      <calculatedColumnFormula>CONCATENATE(Table3[[#This Row],[First Name]],"@alfainsurance.com")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H20"/>
  <sheetViews>
    <sheetView workbookViewId="0">
      <selection activeCell="H1" sqref="H1:H1048576"/>
    </sheetView>
  </sheetViews>
  <sheetFormatPr defaultRowHeight="14.4" x14ac:dyDescent="0.3"/>
  <cols>
    <col min="1" max="1" width="12.44140625" bestFit="1" customWidth="1"/>
    <col min="2" max="2" width="15.77734375" bestFit="1" customWidth="1"/>
    <col min="3" max="3" width="16" bestFit="1" customWidth="1"/>
    <col min="4" max="4" width="10" bestFit="1" customWidth="1"/>
    <col min="5" max="5" width="11.5546875" bestFit="1" customWidth="1"/>
    <col min="6" max="6" width="15.44140625" bestFit="1" customWidth="1"/>
    <col min="7" max="7" width="13.77734375" bestFit="1" customWidth="1"/>
    <col min="8" max="8" width="14.44140625" bestFit="1" customWidth="1"/>
  </cols>
  <sheetData>
    <row r="8" spans="1:8" ht="18" thickBot="1" x14ac:dyDescent="0.4">
      <c r="A8" s="46" t="s">
        <v>134</v>
      </c>
      <c r="B8" s="46"/>
      <c r="C8" s="46"/>
      <c r="D8" s="46"/>
      <c r="E8" s="46"/>
      <c r="F8" s="46"/>
      <c r="G8" s="46"/>
      <c r="H8" s="46"/>
    </row>
    <row r="9" spans="1:8" ht="15" thickTop="1" x14ac:dyDescent="0.3"/>
    <row r="10" spans="1:8" s="50" customFormat="1" ht="15" thickBot="1" x14ac:dyDescent="0.35">
      <c r="A10" s="35" t="s">
        <v>0</v>
      </c>
      <c r="B10" s="49" t="s">
        <v>1</v>
      </c>
      <c r="C10" s="49" t="s">
        <v>2</v>
      </c>
      <c r="D10" s="49" t="s">
        <v>3</v>
      </c>
      <c r="E10" s="49" t="s">
        <v>4</v>
      </c>
      <c r="F10" s="49" t="s">
        <v>5</v>
      </c>
      <c r="G10" s="49" t="s">
        <v>6</v>
      </c>
      <c r="H10" s="49" t="s">
        <v>7</v>
      </c>
    </row>
    <row r="11" spans="1:8" x14ac:dyDescent="0.3">
      <c r="A11" s="1">
        <v>1814</v>
      </c>
      <c r="B11" s="1" t="s">
        <v>8</v>
      </c>
      <c r="C11" s="1" t="s">
        <v>9</v>
      </c>
      <c r="D11" s="1" t="s">
        <v>10</v>
      </c>
      <c r="E11" s="1" t="s">
        <v>11</v>
      </c>
      <c r="F11" s="1">
        <v>103</v>
      </c>
      <c r="G11" s="1" t="s">
        <v>12</v>
      </c>
      <c r="H11" s="2">
        <v>32571</v>
      </c>
    </row>
    <row r="12" spans="1:8" x14ac:dyDescent="0.3">
      <c r="A12" s="3">
        <v>1721</v>
      </c>
      <c r="B12" s="3" t="s">
        <v>13</v>
      </c>
      <c r="C12" s="3" t="s">
        <v>14</v>
      </c>
      <c r="D12" s="3" t="s">
        <v>10</v>
      </c>
      <c r="E12" s="3" t="s">
        <v>15</v>
      </c>
      <c r="F12" s="3">
        <v>102</v>
      </c>
      <c r="G12" s="3" t="s">
        <v>12</v>
      </c>
      <c r="H12" s="4">
        <v>33091</v>
      </c>
    </row>
    <row r="13" spans="1:8" x14ac:dyDescent="0.3">
      <c r="A13" s="5">
        <v>1999</v>
      </c>
      <c r="B13" s="5" t="s">
        <v>16</v>
      </c>
      <c r="C13" s="5" t="s">
        <v>17</v>
      </c>
      <c r="D13" s="5" t="s">
        <v>10</v>
      </c>
      <c r="E13" s="5" t="s">
        <v>18</v>
      </c>
      <c r="F13" s="5">
        <v>428</v>
      </c>
      <c r="G13" s="5" t="s">
        <v>12</v>
      </c>
      <c r="H13" s="6">
        <v>35981</v>
      </c>
    </row>
    <row r="14" spans="1:8" x14ac:dyDescent="0.3">
      <c r="A14" s="3">
        <v>1196</v>
      </c>
      <c r="B14" s="3" t="s">
        <v>19</v>
      </c>
      <c r="C14" s="3" t="s">
        <v>20</v>
      </c>
      <c r="D14" s="3" t="s">
        <v>10</v>
      </c>
      <c r="E14" s="3" t="s">
        <v>21</v>
      </c>
      <c r="F14" s="3">
        <v>289</v>
      </c>
      <c r="G14" s="3" t="s">
        <v>12</v>
      </c>
      <c r="H14" s="4">
        <v>35886</v>
      </c>
    </row>
    <row r="15" spans="1:8" ht="15" customHeight="1" x14ac:dyDescent="0.3">
      <c r="A15" s="5">
        <v>1906</v>
      </c>
      <c r="B15" s="5" t="s">
        <v>22</v>
      </c>
      <c r="C15" s="5" t="s">
        <v>23</v>
      </c>
      <c r="D15" s="5" t="s">
        <v>24</v>
      </c>
      <c r="E15" s="5" t="s">
        <v>25</v>
      </c>
      <c r="F15" s="5">
        <v>155</v>
      </c>
      <c r="G15" s="5" t="s">
        <v>12</v>
      </c>
      <c r="H15" s="6">
        <v>32779</v>
      </c>
    </row>
    <row r="16" spans="1:8" ht="25.5" customHeight="1" x14ac:dyDescent="0.3">
      <c r="A16" s="3">
        <v>1792</v>
      </c>
      <c r="B16" s="3" t="s">
        <v>26</v>
      </c>
      <c r="C16" s="3" t="s">
        <v>27</v>
      </c>
      <c r="D16" s="3" t="s">
        <v>28</v>
      </c>
      <c r="E16" s="3" t="s">
        <v>29</v>
      </c>
      <c r="F16" s="3">
        <v>111</v>
      </c>
      <c r="G16" s="3" t="s">
        <v>30</v>
      </c>
      <c r="H16" s="4">
        <v>33231</v>
      </c>
    </row>
    <row r="17" spans="1:8" ht="20.55" customHeight="1" x14ac:dyDescent="0.3">
      <c r="A17" s="5">
        <v>1516</v>
      </c>
      <c r="B17" s="5" t="s">
        <v>31</v>
      </c>
      <c r="C17" s="5" t="s">
        <v>32</v>
      </c>
      <c r="D17" s="5" t="s">
        <v>33</v>
      </c>
      <c r="E17" s="5" t="s">
        <v>34</v>
      </c>
      <c r="F17" s="5">
        <v>105</v>
      </c>
      <c r="G17" s="5" t="s">
        <v>35</v>
      </c>
      <c r="H17" s="6">
        <v>31112</v>
      </c>
    </row>
    <row r="18" spans="1:8" ht="14.55" customHeight="1" x14ac:dyDescent="0.3">
      <c r="A18" s="3">
        <v>1284</v>
      </c>
      <c r="B18" s="3" t="s">
        <v>36</v>
      </c>
      <c r="C18" s="3" t="s">
        <v>37</v>
      </c>
      <c r="D18" s="3" t="s">
        <v>38</v>
      </c>
      <c r="E18" s="3" t="s">
        <v>39</v>
      </c>
      <c r="F18" s="3">
        <v>124</v>
      </c>
      <c r="G18" s="3" t="s">
        <v>30</v>
      </c>
      <c r="H18" s="4">
        <v>31051</v>
      </c>
    </row>
    <row r="19" spans="1:8" ht="14.55" customHeight="1" x14ac:dyDescent="0.3">
      <c r="A19" s="5">
        <v>1982</v>
      </c>
      <c r="B19" s="5" t="s">
        <v>40</v>
      </c>
      <c r="C19" s="5" t="s">
        <v>41</v>
      </c>
      <c r="D19" s="5" t="s">
        <v>24</v>
      </c>
      <c r="E19" s="5" t="s">
        <v>42</v>
      </c>
      <c r="F19" s="5">
        <v>202</v>
      </c>
      <c r="G19" s="5" t="s">
        <v>12</v>
      </c>
      <c r="H19" s="6">
        <v>35523</v>
      </c>
    </row>
    <row r="20" spans="1:8" x14ac:dyDescent="0.3">
      <c r="A20" s="3">
        <v>1167</v>
      </c>
      <c r="B20" s="3" t="s">
        <v>40</v>
      </c>
      <c r="C20" s="3" t="s">
        <v>43</v>
      </c>
      <c r="D20" s="3" t="s">
        <v>24</v>
      </c>
      <c r="E20" s="3" t="s">
        <v>44</v>
      </c>
      <c r="F20" s="3">
        <v>119</v>
      </c>
      <c r="G20" s="3" t="s">
        <v>12</v>
      </c>
      <c r="H20" s="4">
        <v>33346</v>
      </c>
    </row>
  </sheetData>
  <mergeCells count="1">
    <mergeCell ref="A8:H8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F25"/>
  <sheetViews>
    <sheetView workbookViewId="0">
      <selection activeCell="E8" sqref="E8"/>
    </sheetView>
  </sheetViews>
  <sheetFormatPr defaultRowHeight="14.4" x14ac:dyDescent="0.3"/>
  <cols>
    <col min="1" max="1" width="15.109375" customWidth="1"/>
    <col min="2" max="6" width="14.77734375" customWidth="1"/>
  </cols>
  <sheetData>
    <row r="6" spans="1:6" s="54" customFormat="1" ht="15.6" x14ac:dyDescent="0.3">
      <c r="A6" s="52" t="s">
        <v>139</v>
      </c>
      <c r="B6" s="53"/>
    </row>
    <row r="7" spans="1:6" ht="15.6" x14ac:dyDescent="0.3">
      <c r="A7" s="51"/>
      <c r="B7" s="51"/>
    </row>
    <row r="10" spans="1:6" ht="21" x14ac:dyDescent="0.4">
      <c r="A10" s="47" t="s">
        <v>56</v>
      </c>
      <c r="B10" s="47"/>
      <c r="C10" s="47"/>
      <c r="D10" s="47"/>
      <c r="E10" s="47"/>
      <c r="F10" s="47"/>
    </row>
    <row r="12" spans="1:6" x14ac:dyDescent="0.3">
      <c r="A12" s="38" t="s">
        <v>45</v>
      </c>
      <c r="B12" s="39" t="s">
        <v>46</v>
      </c>
      <c r="C12" s="39" t="s">
        <v>47</v>
      </c>
      <c r="D12" s="39" t="s">
        <v>48</v>
      </c>
      <c r="E12" s="39" t="s">
        <v>49</v>
      </c>
      <c r="F12" s="40" t="s">
        <v>50</v>
      </c>
    </row>
    <row r="13" spans="1:6" x14ac:dyDescent="0.3">
      <c r="A13" s="36" t="s">
        <v>51</v>
      </c>
      <c r="B13" s="7">
        <v>4520</v>
      </c>
      <c r="C13" s="7">
        <v>3620</v>
      </c>
      <c r="D13" s="7">
        <v>2560</v>
      </c>
      <c r="E13" s="7">
        <v>2750</v>
      </c>
      <c r="F13" s="37">
        <f>SUM(B13:E13)</f>
        <v>13450</v>
      </c>
    </row>
    <row r="14" spans="1:6" x14ac:dyDescent="0.3">
      <c r="A14" s="36" t="s">
        <v>52</v>
      </c>
      <c r="B14" s="7">
        <v>3220</v>
      </c>
      <c r="C14" s="7">
        <v>5230</v>
      </c>
      <c r="D14" s="7">
        <v>4550</v>
      </c>
      <c r="E14" s="7">
        <v>5400</v>
      </c>
      <c r="F14" s="37">
        <f>SUM(B14:E14)</f>
        <v>18400</v>
      </c>
    </row>
    <row r="15" spans="1:6" x14ac:dyDescent="0.3">
      <c r="A15" s="36" t="s">
        <v>53</v>
      </c>
      <c r="B15" s="7">
        <v>4560</v>
      </c>
      <c r="C15" s="7">
        <v>2320</v>
      </c>
      <c r="D15" s="7">
        <v>3220</v>
      </c>
      <c r="E15" s="7">
        <v>2320</v>
      </c>
      <c r="F15" s="37">
        <f>SUM(B15:E15)</f>
        <v>12420</v>
      </c>
    </row>
    <row r="16" spans="1:6" x14ac:dyDescent="0.3">
      <c r="A16" s="36" t="s">
        <v>54</v>
      </c>
      <c r="B16" s="7">
        <v>5600</v>
      </c>
      <c r="C16" s="7">
        <v>6510</v>
      </c>
      <c r="D16" s="7">
        <v>5660</v>
      </c>
      <c r="E16" s="7">
        <v>4500</v>
      </c>
      <c r="F16" s="37">
        <f>SUM(B16:E16)</f>
        <v>22270</v>
      </c>
    </row>
    <row r="17" spans="1:6" x14ac:dyDescent="0.3">
      <c r="A17" s="41" t="s">
        <v>55</v>
      </c>
      <c r="B17" s="42">
        <v>2330</v>
      </c>
      <c r="C17" s="42">
        <v>4520</v>
      </c>
      <c r="D17" s="42">
        <v>5500</v>
      </c>
      <c r="E17" s="42">
        <v>4510</v>
      </c>
      <c r="F17" s="43">
        <f>SUM(B17:E17)</f>
        <v>16860</v>
      </c>
    </row>
    <row r="20" spans="1:6" ht="21" customHeight="1" x14ac:dyDescent="0.3"/>
    <row r="21" spans="1:6" ht="14.55" customHeight="1" x14ac:dyDescent="0.3"/>
    <row r="22" spans="1:6" ht="15" customHeight="1" x14ac:dyDescent="0.3"/>
    <row r="23" spans="1:6" ht="15" customHeight="1" x14ac:dyDescent="0.3"/>
    <row r="24" spans="1:6" ht="15" customHeight="1" x14ac:dyDescent="0.3"/>
    <row r="25" spans="1:6" ht="14.55" customHeight="1" x14ac:dyDescent="0.3"/>
  </sheetData>
  <mergeCells count="1">
    <mergeCell ref="A10:F10"/>
  </mergeCells>
  <hyperlinks>
    <hyperlink ref="A6" location="'Sales 2020'!A1" tooltip="sales manager" display="www.salesmanagerhp.com" xr:uid="{053FF6C5-6ADF-40DA-8DD0-3D37536727A3}"/>
  </hyperlink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0:E31"/>
  <sheetViews>
    <sheetView showFormulas="1" workbookViewId="0">
      <selection activeCell="E12" sqref="E12"/>
    </sheetView>
  </sheetViews>
  <sheetFormatPr defaultRowHeight="14.4" x14ac:dyDescent="0.3"/>
  <cols>
    <col min="1" max="5" width="14.77734375" customWidth="1"/>
  </cols>
  <sheetData>
    <row r="10" spans="1:5" ht="18" thickBot="1" x14ac:dyDescent="0.4">
      <c r="A10" s="46" t="s">
        <v>136</v>
      </c>
      <c r="B10" s="46"/>
      <c r="C10" s="46"/>
      <c r="D10" s="46"/>
      <c r="E10" s="46"/>
    </row>
    <row r="11" spans="1:5" ht="15" thickTop="1" x14ac:dyDescent="0.3"/>
    <row r="12" spans="1:5" ht="15" thickBot="1" x14ac:dyDescent="0.35">
      <c r="A12" s="8" t="s">
        <v>57</v>
      </c>
      <c r="B12" s="8" t="s">
        <v>58</v>
      </c>
      <c r="C12" s="8" t="s">
        <v>59</v>
      </c>
      <c r="D12" s="8" t="s">
        <v>60</v>
      </c>
      <c r="E12" s="8" t="s">
        <v>61</v>
      </c>
    </row>
    <row r="13" spans="1:5" x14ac:dyDescent="0.3">
      <c r="A13" s="9" t="s">
        <v>62</v>
      </c>
      <c r="B13" s="10" t="s">
        <v>63</v>
      </c>
      <c r="C13" s="10">
        <v>99</v>
      </c>
      <c r="D13" s="11">
        <v>10</v>
      </c>
      <c r="E13" s="12">
        <f t="shared" ref="E13:E31" si="0">C13*D13</f>
        <v>990</v>
      </c>
    </row>
    <row r="14" spans="1:5" x14ac:dyDescent="0.3">
      <c r="A14" s="9" t="s">
        <v>62</v>
      </c>
      <c r="B14" s="10" t="s">
        <v>64</v>
      </c>
      <c r="C14" s="10">
        <v>61</v>
      </c>
      <c r="D14" s="11">
        <v>13</v>
      </c>
      <c r="E14" s="12">
        <f t="shared" si="0"/>
        <v>793</v>
      </c>
    </row>
    <row r="15" spans="1:5" x14ac:dyDescent="0.3">
      <c r="A15" s="9" t="s">
        <v>62</v>
      </c>
      <c r="B15" s="10" t="s">
        <v>65</v>
      </c>
      <c r="C15" s="10">
        <v>28</v>
      </c>
      <c r="D15" s="11">
        <v>13.5</v>
      </c>
      <c r="E15" s="12">
        <f t="shared" si="0"/>
        <v>378</v>
      </c>
    </row>
    <row r="16" spans="1:5" x14ac:dyDescent="0.3">
      <c r="A16" s="9" t="s">
        <v>62</v>
      </c>
      <c r="B16" s="10" t="s">
        <v>66</v>
      </c>
      <c r="C16" s="10">
        <v>75</v>
      </c>
      <c r="D16" s="11">
        <v>11.2</v>
      </c>
      <c r="E16" s="12">
        <f t="shared" si="0"/>
        <v>840</v>
      </c>
    </row>
    <row r="17" spans="1:5" x14ac:dyDescent="0.3">
      <c r="A17" s="9" t="s">
        <v>62</v>
      </c>
      <c r="B17" s="10" t="s">
        <v>66</v>
      </c>
      <c r="C17" s="10">
        <v>80</v>
      </c>
      <c r="D17" s="11">
        <v>11.2</v>
      </c>
      <c r="E17" s="12">
        <f t="shared" si="0"/>
        <v>896</v>
      </c>
    </row>
    <row r="18" spans="1:5" ht="14.55" customHeight="1" x14ac:dyDescent="0.3">
      <c r="A18" s="9" t="s">
        <v>62</v>
      </c>
      <c r="B18" s="10" t="s">
        <v>66</v>
      </c>
      <c r="C18" s="10">
        <v>80</v>
      </c>
      <c r="D18" s="11">
        <v>11.2</v>
      </c>
      <c r="E18" s="12">
        <f t="shared" si="0"/>
        <v>896</v>
      </c>
    </row>
    <row r="19" spans="1:5" ht="14.55" customHeight="1" x14ac:dyDescent="0.3">
      <c r="A19" s="10" t="s">
        <v>67</v>
      </c>
      <c r="B19" s="10" t="s">
        <v>63</v>
      </c>
      <c r="C19" s="10">
        <v>75</v>
      </c>
      <c r="D19" s="11">
        <v>11</v>
      </c>
      <c r="E19" s="12">
        <f t="shared" si="0"/>
        <v>825</v>
      </c>
    </row>
    <row r="20" spans="1:5" ht="14.55" customHeight="1" x14ac:dyDescent="0.3">
      <c r="A20" s="10" t="s">
        <v>67</v>
      </c>
      <c r="B20" s="10" t="s">
        <v>64</v>
      </c>
      <c r="C20" s="10">
        <v>75</v>
      </c>
      <c r="D20" s="11">
        <v>12.65</v>
      </c>
      <c r="E20" s="12">
        <f t="shared" si="0"/>
        <v>948.75</v>
      </c>
    </row>
    <row r="21" spans="1:5" ht="14.55" customHeight="1" x14ac:dyDescent="0.3">
      <c r="A21" s="10" t="s">
        <v>67</v>
      </c>
      <c r="B21" s="10" t="s">
        <v>64</v>
      </c>
      <c r="C21" s="10">
        <v>68</v>
      </c>
      <c r="D21" s="11">
        <v>12.65</v>
      </c>
      <c r="E21" s="12">
        <f t="shared" si="0"/>
        <v>860.2</v>
      </c>
    </row>
    <row r="22" spans="1:5" ht="14.55" customHeight="1" x14ac:dyDescent="0.3">
      <c r="A22" s="10" t="s">
        <v>67</v>
      </c>
      <c r="B22" s="10" t="s">
        <v>65</v>
      </c>
      <c r="C22" s="10">
        <v>86</v>
      </c>
      <c r="D22" s="11">
        <v>10</v>
      </c>
      <c r="E22" s="12">
        <f t="shared" si="0"/>
        <v>860</v>
      </c>
    </row>
    <row r="23" spans="1:5" x14ac:dyDescent="0.3">
      <c r="A23" s="10" t="s">
        <v>67</v>
      </c>
      <c r="B23" s="10" t="s">
        <v>66</v>
      </c>
      <c r="C23" s="10">
        <v>55</v>
      </c>
      <c r="D23" s="11">
        <v>12.55</v>
      </c>
      <c r="E23" s="12">
        <f t="shared" si="0"/>
        <v>690.25</v>
      </c>
    </row>
    <row r="24" spans="1:5" x14ac:dyDescent="0.3">
      <c r="A24" s="10" t="s">
        <v>67</v>
      </c>
      <c r="B24" s="10" t="s">
        <v>66</v>
      </c>
      <c r="C24" s="10">
        <v>65</v>
      </c>
      <c r="D24" s="11">
        <v>12.55</v>
      </c>
      <c r="E24" s="12">
        <f t="shared" si="0"/>
        <v>815.75</v>
      </c>
    </row>
    <row r="25" spans="1:5" x14ac:dyDescent="0.3">
      <c r="A25" s="10" t="s">
        <v>68</v>
      </c>
      <c r="B25" s="10" t="s">
        <v>63</v>
      </c>
      <c r="C25" s="10">
        <v>95</v>
      </c>
      <c r="D25" s="11">
        <v>10.55</v>
      </c>
      <c r="E25" s="12">
        <f t="shared" si="0"/>
        <v>1002.2500000000001</v>
      </c>
    </row>
    <row r="26" spans="1:5" x14ac:dyDescent="0.3">
      <c r="A26" s="10" t="s">
        <v>68</v>
      </c>
      <c r="B26" s="10" t="s">
        <v>64</v>
      </c>
      <c r="C26" s="10">
        <v>95</v>
      </c>
      <c r="D26" s="11">
        <v>10.55</v>
      </c>
      <c r="E26" s="12">
        <f t="shared" si="0"/>
        <v>1002.2500000000001</v>
      </c>
    </row>
    <row r="27" spans="1:5" x14ac:dyDescent="0.3">
      <c r="A27" s="10" t="s">
        <v>68</v>
      </c>
      <c r="B27" s="10" t="s">
        <v>65</v>
      </c>
      <c r="C27" s="10">
        <v>90</v>
      </c>
      <c r="D27" s="11">
        <v>10.9</v>
      </c>
      <c r="E27" s="12">
        <f t="shared" si="0"/>
        <v>981</v>
      </c>
    </row>
    <row r="28" spans="1:5" x14ac:dyDescent="0.3">
      <c r="A28" s="10" t="s">
        <v>68</v>
      </c>
      <c r="B28" s="10" t="s">
        <v>65</v>
      </c>
      <c r="C28" s="10">
        <v>110</v>
      </c>
      <c r="D28" s="11">
        <v>10.9</v>
      </c>
      <c r="E28" s="12">
        <f t="shared" si="0"/>
        <v>1199</v>
      </c>
    </row>
    <row r="29" spans="1:5" x14ac:dyDescent="0.3">
      <c r="A29" s="10" t="s">
        <v>68</v>
      </c>
      <c r="B29" s="10" t="s">
        <v>66</v>
      </c>
      <c r="C29" s="10">
        <v>95</v>
      </c>
      <c r="D29" s="11">
        <v>10.55</v>
      </c>
      <c r="E29" s="12">
        <f t="shared" si="0"/>
        <v>1002.2500000000001</v>
      </c>
    </row>
    <row r="30" spans="1:5" x14ac:dyDescent="0.3">
      <c r="A30" s="10" t="s">
        <v>69</v>
      </c>
      <c r="B30" s="10" t="s">
        <v>63</v>
      </c>
      <c r="C30" s="10">
        <v>52</v>
      </c>
      <c r="D30" s="11">
        <v>12</v>
      </c>
      <c r="E30" s="12">
        <f t="shared" si="0"/>
        <v>624</v>
      </c>
    </row>
    <row r="31" spans="1:5" x14ac:dyDescent="0.3">
      <c r="A31" s="10" t="s">
        <v>69</v>
      </c>
      <c r="B31" s="10" t="s">
        <v>64</v>
      </c>
      <c r="C31" s="10">
        <v>85</v>
      </c>
      <c r="D31" s="11">
        <v>11</v>
      </c>
      <c r="E31" s="12">
        <f t="shared" si="0"/>
        <v>935</v>
      </c>
    </row>
  </sheetData>
  <mergeCells count="1">
    <mergeCell ref="A10:E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9:G32"/>
  <sheetViews>
    <sheetView topLeftCell="A7" workbookViewId="0">
      <selection activeCell="H30" sqref="H30"/>
    </sheetView>
  </sheetViews>
  <sheetFormatPr defaultRowHeight="14.4" x14ac:dyDescent="0.3"/>
  <cols>
    <col min="2" max="4" width="14.77734375" customWidth="1"/>
    <col min="5" max="5" width="16.5546875" customWidth="1"/>
    <col min="6" max="6" width="14.77734375" customWidth="1"/>
  </cols>
  <sheetData>
    <row r="9" spans="1:7" ht="18" thickBot="1" x14ac:dyDescent="0.4">
      <c r="A9" s="46" t="s">
        <v>137</v>
      </c>
      <c r="B9" s="46"/>
      <c r="C9" s="46"/>
      <c r="D9" s="46"/>
      <c r="E9" s="46"/>
      <c r="F9" s="46"/>
      <c r="G9" s="46"/>
    </row>
    <row r="10" spans="1:7" ht="15" thickTop="1" x14ac:dyDescent="0.3"/>
    <row r="11" spans="1:7" x14ac:dyDescent="0.3">
      <c r="A11" t="s">
        <v>88</v>
      </c>
      <c r="B11" s="13" t="s">
        <v>70</v>
      </c>
      <c r="C11" s="14" t="s">
        <v>71</v>
      </c>
      <c r="D11" s="15" t="s">
        <v>58</v>
      </c>
      <c r="E11" s="15" t="s">
        <v>72</v>
      </c>
      <c r="F11" s="14" t="s">
        <v>73</v>
      </c>
      <c r="G11" t="s">
        <v>89</v>
      </c>
    </row>
    <row r="12" spans="1:7" x14ac:dyDescent="0.3">
      <c r="A12">
        <v>1</v>
      </c>
      <c r="B12" s="16" t="s">
        <v>74</v>
      </c>
      <c r="C12" s="17" t="s">
        <v>75</v>
      </c>
      <c r="D12" s="18" t="s">
        <v>76</v>
      </c>
      <c r="E12" s="18" t="s">
        <v>77</v>
      </c>
      <c r="F12" s="17">
        <v>1618.5</v>
      </c>
      <c r="G12">
        <f>IF(Table2[[#This Row],[Units Sold]]&gt;800,500,100)</f>
        <v>500</v>
      </c>
    </row>
    <row r="13" spans="1:7" x14ac:dyDescent="0.3">
      <c r="A13">
        <v>2</v>
      </c>
      <c r="B13" s="16" t="s">
        <v>74</v>
      </c>
      <c r="C13" s="17" t="s">
        <v>78</v>
      </c>
      <c r="D13" s="18" t="s">
        <v>76</v>
      </c>
      <c r="E13" s="18" t="s">
        <v>77</v>
      </c>
      <c r="F13" s="17">
        <v>1321</v>
      </c>
      <c r="G13">
        <f>IF(Table2[[#This Row],[Units Sold]]&gt;800,500,100)</f>
        <v>500</v>
      </c>
    </row>
    <row r="14" spans="1:7" x14ac:dyDescent="0.3">
      <c r="A14">
        <v>3</v>
      </c>
      <c r="B14" s="16" t="s">
        <v>79</v>
      </c>
      <c r="C14" s="17" t="s">
        <v>80</v>
      </c>
      <c r="D14" s="18" t="s">
        <v>76</v>
      </c>
      <c r="E14" s="18" t="s">
        <v>77</v>
      </c>
      <c r="F14" s="17">
        <v>2178</v>
      </c>
      <c r="G14">
        <f>IF(Table2[[#This Row],[Units Sold]]&gt;800,500,100)</f>
        <v>500</v>
      </c>
    </row>
    <row r="15" spans="1:7" x14ac:dyDescent="0.3">
      <c r="A15">
        <v>4</v>
      </c>
      <c r="B15" s="16" t="s">
        <v>79</v>
      </c>
      <c r="C15" s="17" t="s">
        <v>78</v>
      </c>
      <c r="D15" s="18" t="s">
        <v>76</v>
      </c>
      <c r="E15" s="18" t="s">
        <v>77</v>
      </c>
      <c r="F15" s="17">
        <v>888</v>
      </c>
      <c r="G15">
        <f>IF(Table2[[#This Row],[Units Sold]]&gt;800,500,100)</f>
        <v>500</v>
      </c>
    </row>
    <row r="16" spans="1:7" x14ac:dyDescent="0.3">
      <c r="A16">
        <v>5</v>
      </c>
      <c r="B16" s="16" t="s">
        <v>79</v>
      </c>
      <c r="C16" s="17" t="s">
        <v>81</v>
      </c>
      <c r="D16" s="18" t="s">
        <v>76</v>
      </c>
      <c r="E16" s="18" t="s">
        <v>77</v>
      </c>
      <c r="F16" s="17">
        <v>2470</v>
      </c>
      <c r="G16">
        <f>IF(Table2[[#This Row],[Units Sold]]&gt;800,500,100)</f>
        <v>500</v>
      </c>
    </row>
    <row r="17" spans="1:7" ht="14.55" customHeight="1" x14ac:dyDescent="0.3">
      <c r="A17">
        <v>6</v>
      </c>
      <c r="B17" s="16" t="s">
        <v>74</v>
      </c>
      <c r="C17" s="17" t="s">
        <v>78</v>
      </c>
      <c r="D17" s="18" t="s">
        <v>76</v>
      </c>
      <c r="E17" s="18" t="s">
        <v>77</v>
      </c>
      <c r="F17" s="17">
        <v>1513</v>
      </c>
      <c r="G17">
        <f>IF(Table2[[#This Row],[Units Sold]]&gt;800,500,100)</f>
        <v>500</v>
      </c>
    </row>
    <row r="18" spans="1:7" ht="14.55" customHeight="1" x14ac:dyDescent="0.3">
      <c r="A18">
        <v>7</v>
      </c>
      <c r="B18" s="16" t="s">
        <v>79</v>
      </c>
      <c r="C18" s="17" t="s">
        <v>78</v>
      </c>
      <c r="D18" s="18" t="s">
        <v>82</v>
      </c>
      <c r="E18" s="18" t="s">
        <v>77</v>
      </c>
      <c r="F18" s="17">
        <v>921</v>
      </c>
      <c r="G18">
        <f>IF(Table2[[#This Row],[Units Sold]]&gt;800,500,100)</f>
        <v>500</v>
      </c>
    </row>
    <row r="19" spans="1:7" ht="14.55" customHeight="1" x14ac:dyDescent="0.3">
      <c r="A19">
        <v>8</v>
      </c>
      <c r="B19" s="16" t="s">
        <v>83</v>
      </c>
      <c r="C19" s="17" t="s">
        <v>75</v>
      </c>
      <c r="D19" s="18" t="s">
        <v>82</v>
      </c>
      <c r="E19" s="18" t="s">
        <v>77</v>
      </c>
      <c r="F19" s="17">
        <v>2518</v>
      </c>
      <c r="G19">
        <f>IF(Table2[[#This Row],[Units Sold]]&gt;800,500,100)</f>
        <v>500</v>
      </c>
    </row>
    <row r="20" spans="1:7" ht="14.55" customHeight="1" x14ac:dyDescent="0.3">
      <c r="A20">
        <v>9</v>
      </c>
      <c r="B20" s="16" t="s">
        <v>74</v>
      </c>
      <c r="C20" s="17" t="s">
        <v>80</v>
      </c>
      <c r="D20" s="18" t="s">
        <v>82</v>
      </c>
      <c r="E20" s="18" t="s">
        <v>77</v>
      </c>
      <c r="F20" s="17">
        <v>1899</v>
      </c>
      <c r="G20">
        <f>IF(Table2[[#This Row],[Units Sold]]&gt;800,500,100)</f>
        <v>500</v>
      </c>
    </row>
    <row r="21" spans="1:7" ht="14.55" customHeight="1" x14ac:dyDescent="0.3">
      <c r="A21">
        <v>10</v>
      </c>
      <c r="B21" s="16" t="s">
        <v>83</v>
      </c>
      <c r="C21" s="17" t="s">
        <v>78</v>
      </c>
      <c r="D21" s="18" t="s">
        <v>82</v>
      </c>
      <c r="E21" s="18" t="s">
        <v>77</v>
      </c>
      <c r="F21" s="17">
        <v>1545</v>
      </c>
      <c r="G21">
        <f>IF(Table2[[#This Row],[Units Sold]]&gt;800,500,100)</f>
        <v>500</v>
      </c>
    </row>
    <row r="22" spans="1:7" ht="14.55" customHeight="1" x14ac:dyDescent="0.3">
      <c r="A22">
        <v>11</v>
      </c>
      <c r="B22" s="16" t="s">
        <v>79</v>
      </c>
      <c r="C22" s="17" t="s">
        <v>81</v>
      </c>
      <c r="D22" s="18" t="s">
        <v>82</v>
      </c>
      <c r="E22" s="18" t="s">
        <v>77</v>
      </c>
      <c r="F22" s="17">
        <v>2470</v>
      </c>
      <c r="G22">
        <f>IF(Table2[[#This Row],[Units Sold]]&gt;800,500,100)</f>
        <v>500</v>
      </c>
    </row>
    <row r="23" spans="1:7" ht="14.55" customHeight="1" x14ac:dyDescent="0.3">
      <c r="A23">
        <v>12</v>
      </c>
      <c r="B23" s="16" t="s">
        <v>84</v>
      </c>
      <c r="C23" s="17" t="s">
        <v>75</v>
      </c>
      <c r="D23" s="18" t="s">
        <v>82</v>
      </c>
      <c r="E23" s="18" t="s">
        <v>77</v>
      </c>
      <c r="F23" s="17">
        <v>2665.5</v>
      </c>
      <c r="G23">
        <f>IF(Table2[[#This Row],[Units Sold]]&gt;800,500,100)</f>
        <v>500</v>
      </c>
    </row>
    <row r="24" spans="1:7" ht="14.55" customHeight="1" x14ac:dyDescent="0.3">
      <c r="A24">
        <v>13</v>
      </c>
      <c r="B24" s="16" t="s">
        <v>85</v>
      </c>
      <c r="C24" s="17" t="s">
        <v>81</v>
      </c>
      <c r="D24" s="18" t="s">
        <v>82</v>
      </c>
      <c r="E24" s="18" t="s">
        <v>77</v>
      </c>
      <c r="F24" s="17">
        <v>958</v>
      </c>
      <c r="G24">
        <f>IF(Table2[[#This Row],[Units Sold]]&gt;800,500,100)</f>
        <v>500</v>
      </c>
    </row>
    <row r="25" spans="1:7" ht="14.55" customHeight="1" x14ac:dyDescent="0.3">
      <c r="A25">
        <v>14</v>
      </c>
      <c r="B25" s="16" t="s">
        <v>74</v>
      </c>
      <c r="C25" s="17" t="s">
        <v>78</v>
      </c>
      <c r="D25" s="18" t="s">
        <v>82</v>
      </c>
      <c r="E25" s="18" t="s">
        <v>77</v>
      </c>
      <c r="F25" s="17">
        <v>2146</v>
      </c>
      <c r="G25">
        <f>IF(Table2[[#This Row],[Units Sold]]&gt;800,500,100)</f>
        <v>500</v>
      </c>
    </row>
    <row r="26" spans="1:7" ht="14.55" customHeight="1" x14ac:dyDescent="0.3">
      <c r="A26">
        <v>15</v>
      </c>
      <c r="B26" s="16" t="s">
        <v>84</v>
      </c>
      <c r="C26" s="17" t="s">
        <v>75</v>
      </c>
      <c r="D26" s="18" t="s">
        <v>82</v>
      </c>
      <c r="E26" s="18" t="s">
        <v>77</v>
      </c>
      <c r="F26" s="17">
        <v>345</v>
      </c>
      <c r="G26">
        <f>IF(Table2[[#This Row],[Units Sold]]&gt;800,500,100)</f>
        <v>100</v>
      </c>
    </row>
    <row r="27" spans="1:7" ht="14.55" customHeight="1" x14ac:dyDescent="0.3">
      <c r="A27">
        <v>16</v>
      </c>
      <c r="B27" s="16" t="s">
        <v>79</v>
      </c>
      <c r="C27" s="17" t="s">
        <v>86</v>
      </c>
      <c r="D27" s="18" t="s">
        <v>82</v>
      </c>
      <c r="E27" s="18" t="s">
        <v>77</v>
      </c>
      <c r="F27" s="17">
        <v>615</v>
      </c>
      <c r="G27">
        <f>IF(Table2[[#This Row],[Units Sold]]&gt;800,500,100)</f>
        <v>100</v>
      </c>
    </row>
    <row r="28" spans="1:7" x14ac:dyDescent="0.3">
      <c r="A28">
        <v>17</v>
      </c>
      <c r="B28" s="16" t="s">
        <v>74</v>
      </c>
      <c r="C28" s="17" t="s">
        <v>75</v>
      </c>
      <c r="D28" s="18" t="s">
        <v>87</v>
      </c>
      <c r="E28" s="18" t="s">
        <v>77</v>
      </c>
      <c r="F28" s="17">
        <v>292</v>
      </c>
      <c r="G28">
        <f>IF(Table2[[#This Row],[Units Sold]]&gt;800,500,100)</f>
        <v>100</v>
      </c>
    </row>
    <row r="29" spans="1:7" x14ac:dyDescent="0.3">
      <c r="A29">
        <v>18</v>
      </c>
      <c r="B29" s="16" t="s">
        <v>79</v>
      </c>
      <c r="C29" s="17" t="s">
        <v>81</v>
      </c>
      <c r="D29" s="18" t="s">
        <v>87</v>
      </c>
      <c r="E29" s="18" t="s">
        <v>77</v>
      </c>
      <c r="F29" s="17">
        <v>974</v>
      </c>
      <c r="G29">
        <f>IF(Table2[[#This Row],[Units Sold]]&gt;800,500,100)</f>
        <v>500</v>
      </c>
    </row>
    <row r="30" spans="1:7" x14ac:dyDescent="0.3">
      <c r="A30">
        <v>19</v>
      </c>
      <c r="B30" s="16" t="s">
        <v>83</v>
      </c>
      <c r="C30" s="17" t="s">
        <v>75</v>
      </c>
      <c r="D30" s="18" t="s">
        <v>87</v>
      </c>
      <c r="E30" s="18" t="s">
        <v>77</v>
      </c>
      <c r="F30" s="17">
        <v>2518</v>
      </c>
      <c r="G30">
        <f>IF(Table2[[#This Row],[Units Sold]]&gt;800,500,100)</f>
        <v>500</v>
      </c>
    </row>
    <row r="31" spans="1:7" x14ac:dyDescent="0.3">
      <c r="B31" s="55"/>
      <c r="C31" s="56"/>
      <c r="D31" s="57"/>
      <c r="E31" s="57"/>
      <c r="F31" s="56"/>
    </row>
    <row r="32" spans="1:7" x14ac:dyDescent="0.3">
      <c r="B32" s="58"/>
      <c r="C32" s="59"/>
      <c r="D32" s="60"/>
      <c r="E32" s="60"/>
      <c r="F32" s="59"/>
    </row>
  </sheetData>
  <mergeCells count="1">
    <mergeCell ref="A9:G9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0:F32"/>
  <sheetViews>
    <sheetView topLeftCell="A9" workbookViewId="0">
      <selection activeCell="I23" sqref="I23"/>
    </sheetView>
  </sheetViews>
  <sheetFormatPr defaultRowHeight="14.4" x14ac:dyDescent="0.3"/>
  <cols>
    <col min="1" max="5" width="14.77734375" customWidth="1"/>
    <col min="6" max="6" width="12.21875" customWidth="1"/>
  </cols>
  <sheetData>
    <row r="10" spans="1:6" ht="18" thickBot="1" x14ac:dyDescent="0.4">
      <c r="A10" s="46" t="s">
        <v>138</v>
      </c>
      <c r="B10" s="46"/>
      <c r="C10" s="46"/>
      <c r="D10" s="46"/>
      <c r="E10" s="46"/>
      <c r="F10" s="46"/>
    </row>
    <row r="11" spans="1:6" ht="15" thickTop="1" x14ac:dyDescent="0.3"/>
    <row r="12" spans="1:6" ht="15" thickBot="1" x14ac:dyDescent="0.35">
      <c r="A12" s="44" t="s">
        <v>90</v>
      </c>
      <c r="B12" s="45" t="s">
        <v>91</v>
      </c>
      <c r="C12" s="45" t="s">
        <v>92</v>
      </c>
      <c r="D12" s="45" t="s">
        <v>93</v>
      </c>
      <c r="E12" s="45" t="s">
        <v>94</v>
      </c>
      <c r="F12" s="45" t="s">
        <v>111</v>
      </c>
    </row>
    <row r="13" spans="1:6" x14ac:dyDescent="0.3">
      <c r="A13" s="23" t="s">
        <v>95</v>
      </c>
      <c r="B13" s="24" t="s">
        <v>96</v>
      </c>
      <c r="C13" s="25">
        <v>800</v>
      </c>
      <c r="D13" s="25">
        <v>650</v>
      </c>
      <c r="E13" s="25">
        <v>700</v>
      </c>
      <c r="F13" s="17"/>
    </row>
    <row r="14" spans="1:6" x14ac:dyDescent="0.3">
      <c r="A14" s="19" t="s">
        <v>95</v>
      </c>
      <c r="B14" s="20" t="s">
        <v>97</v>
      </c>
      <c r="C14" s="21">
        <v>900</v>
      </c>
      <c r="D14" s="21">
        <v>850</v>
      </c>
      <c r="E14" s="21">
        <v>850</v>
      </c>
      <c r="F14" s="17"/>
    </row>
    <row r="15" spans="1:6" x14ac:dyDescent="0.3">
      <c r="A15" s="19" t="s">
        <v>95</v>
      </c>
      <c r="B15" s="20" t="s">
        <v>98</v>
      </c>
      <c r="C15" s="21">
        <v>4850</v>
      </c>
      <c r="D15" s="21">
        <v>3200</v>
      </c>
      <c r="E15" s="21">
        <v>1155</v>
      </c>
      <c r="F15" s="17"/>
    </row>
    <row r="16" spans="1:6" x14ac:dyDescent="0.3">
      <c r="A16" s="19" t="s">
        <v>95</v>
      </c>
      <c r="B16" s="20" t="s">
        <v>99</v>
      </c>
      <c r="C16" s="21">
        <v>1250</v>
      </c>
      <c r="D16" s="21">
        <v>1250</v>
      </c>
      <c r="E16" s="21">
        <v>1250</v>
      </c>
      <c r="F16" s="17"/>
    </row>
    <row r="17" spans="1:6" x14ac:dyDescent="0.3">
      <c r="A17" s="19" t="s">
        <v>95</v>
      </c>
      <c r="B17" s="20" t="s">
        <v>100</v>
      </c>
      <c r="C17" s="21">
        <v>2025</v>
      </c>
      <c r="D17" s="21">
        <v>2200</v>
      </c>
      <c r="E17" s="21">
        <v>1650</v>
      </c>
      <c r="F17" s="17"/>
    </row>
    <row r="18" spans="1:6" x14ac:dyDescent="0.3">
      <c r="A18" s="19" t="s">
        <v>95</v>
      </c>
      <c r="B18" s="20" t="s">
        <v>101</v>
      </c>
      <c r="C18" s="21">
        <v>1350</v>
      </c>
      <c r="D18" s="21">
        <v>1500</v>
      </c>
      <c r="E18" s="21">
        <v>1700</v>
      </c>
      <c r="F18" s="17"/>
    </row>
    <row r="19" spans="1:6" ht="14.55" customHeight="1" x14ac:dyDescent="0.3">
      <c r="A19" s="19" t="s">
        <v>95</v>
      </c>
      <c r="B19" s="20" t="s">
        <v>102</v>
      </c>
      <c r="C19" s="21">
        <v>3300</v>
      </c>
      <c r="D19" s="21">
        <v>3500</v>
      </c>
      <c r="E19" s="21">
        <v>3700</v>
      </c>
      <c r="F19" s="17"/>
    </row>
    <row r="20" spans="1:6" ht="14.55" customHeight="1" x14ac:dyDescent="0.3">
      <c r="A20" s="19" t="s">
        <v>95</v>
      </c>
      <c r="B20" s="20" t="s">
        <v>103</v>
      </c>
      <c r="C20" s="21">
        <v>3825</v>
      </c>
      <c r="D20" s="21">
        <v>3725</v>
      </c>
      <c r="E20" s="21">
        <v>3750</v>
      </c>
      <c r="F20" s="17"/>
    </row>
    <row r="21" spans="1:6" ht="14.55" customHeight="1" x14ac:dyDescent="0.3">
      <c r="A21" s="19" t="s">
        <v>95</v>
      </c>
      <c r="B21" s="20" t="s">
        <v>104</v>
      </c>
      <c r="C21" s="21">
        <v>8900</v>
      </c>
      <c r="D21" s="21">
        <v>10315</v>
      </c>
      <c r="E21" s="21">
        <v>5250</v>
      </c>
      <c r="F21" s="17"/>
    </row>
    <row r="22" spans="1:6" ht="14.55" customHeight="1" x14ac:dyDescent="0.3">
      <c r="A22" s="19" t="s">
        <v>95</v>
      </c>
      <c r="B22" s="20" t="s">
        <v>105</v>
      </c>
      <c r="C22" s="21">
        <v>6250</v>
      </c>
      <c r="D22" s="21">
        <v>6000</v>
      </c>
      <c r="E22" s="21">
        <v>6500</v>
      </c>
      <c r="F22" s="17"/>
    </row>
    <row r="23" spans="1:6" ht="14.55" customHeight="1" x14ac:dyDescent="0.3">
      <c r="A23" s="19" t="s">
        <v>95</v>
      </c>
      <c r="B23" s="20" t="s">
        <v>106</v>
      </c>
      <c r="C23" s="21">
        <v>8000</v>
      </c>
      <c r="D23" s="21">
        <v>8000</v>
      </c>
      <c r="E23" s="21">
        <v>8000</v>
      </c>
      <c r="F23" s="17"/>
    </row>
    <row r="24" spans="1:6" x14ac:dyDescent="0.3">
      <c r="A24" s="19" t="s">
        <v>95</v>
      </c>
      <c r="B24" s="20" t="s">
        <v>107</v>
      </c>
      <c r="C24" s="21">
        <v>11500</v>
      </c>
      <c r="D24" s="21">
        <v>12500</v>
      </c>
      <c r="E24" s="21">
        <v>12500</v>
      </c>
      <c r="F24" s="17"/>
    </row>
    <row r="25" spans="1:6" x14ac:dyDescent="0.3">
      <c r="A25" s="19" t="s">
        <v>95</v>
      </c>
      <c r="B25" s="20" t="s">
        <v>108</v>
      </c>
      <c r="C25" s="21">
        <v>12250</v>
      </c>
      <c r="D25" s="21">
        <v>12250</v>
      </c>
      <c r="E25" s="21">
        <v>12750</v>
      </c>
      <c r="F25" s="17"/>
    </row>
    <row r="26" spans="1:6" x14ac:dyDescent="0.3">
      <c r="A26" s="19" t="s">
        <v>95</v>
      </c>
      <c r="B26" s="20" t="s">
        <v>109</v>
      </c>
      <c r="C26" s="21">
        <v>25000</v>
      </c>
      <c r="D26" s="21">
        <v>24000</v>
      </c>
      <c r="E26" s="21">
        <v>26390</v>
      </c>
      <c r="F26" s="17"/>
    </row>
    <row r="27" spans="1:6" x14ac:dyDescent="0.3">
      <c r="A27" s="22" t="s">
        <v>110</v>
      </c>
      <c r="B27" s="20" t="s">
        <v>96</v>
      </c>
      <c r="C27" s="21">
        <v>800</v>
      </c>
      <c r="D27" s="21">
        <v>950</v>
      </c>
      <c r="E27" s="21">
        <v>750</v>
      </c>
      <c r="F27" s="17"/>
    </row>
    <row r="28" spans="1:6" x14ac:dyDescent="0.3">
      <c r="A28" s="22" t="s">
        <v>110</v>
      </c>
      <c r="B28" s="20" t="s">
        <v>99</v>
      </c>
      <c r="C28" s="21">
        <v>850</v>
      </c>
      <c r="D28" s="21">
        <v>750</v>
      </c>
      <c r="E28" s="21">
        <v>800</v>
      </c>
      <c r="F28" s="17"/>
    </row>
    <row r="29" spans="1:6" x14ac:dyDescent="0.3">
      <c r="A29" s="22" t="s">
        <v>110</v>
      </c>
      <c r="B29" s="20" t="s">
        <v>101</v>
      </c>
      <c r="C29" s="21">
        <v>940</v>
      </c>
      <c r="D29" s="21">
        <v>950</v>
      </c>
      <c r="E29" s="21">
        <v>820</v>
      </c>
      <c r="F29" s="17"/>
    </row>
    <row r="30" spans="1:6" x14ac:dyDescent="0.3">
      <c r="A30" s="22" t="s">
        <v>110</v>
      </c>
      <c r="B30" s="20" t="s">
        <v>97</v>
      </c>
      <c r="C30" s="21">
        <v>980</v>
      </c>
      <c r="D30" s="21">
        <v>850</v>
      </c>
      <c r="E30" s="21">
        <v>950</v>
      </c>
      <c r="F30" s="17"/>
    </row>
    <row r="31" spans="1:6" x14ac:dyDescent="0.3">
      <c r="A31" s="22" t="s">
        <v>110</v>
      </c>
      <c r="B31" s="20" t="s">
        <v>104</v>
      </c>
      <c r="C31" s="21">
        <v>1250</v>
      </c>
      <c r="D31" s="21">
        <v>1250</v>
      </c>
      <c r="E31" s="21">
        <v>1250</v>
      </c>
      <c r="F31" s="17"/>
    </row>
    <row r="32" spans="1:6" x14ac:dyDescent="0.3">
      <c r="A32" s="22" t="s">
        <v>110</v>
      </c>
      <c r="B32" s="20" t="s">
        <v>100</v>
      </c>
      <c r="C32" s="21">
        <v>1150</v>
      </c>
      <c r="D32" s="21">
        <v>1255</v>
      </c>
      <c r="E32" s="21">
        <v>1400</v>
      </c>
      <c r="F32" s="17"/>
    </row>
  </sheetData>
  <mergeCells count="1">
    <mergeCell ref="A10:F10"/>
  </mergeCells>
  <pageMargins left="0.7" right="0.7" top="0.75" bottom="0.75" header="0.3" footer="0.3"/>
  <pageSetup orientation="portrait" verticalDpi="0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xr2:uid="{30910D52-116D-4FDD-BB0E-F4C6762C00FB}">
          <x14:colorSeries rgb="FF7030A0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Division!C13:E13</xm:f>
              <xm:sqref>F13</xm:sqref>
            </x14:sparkline>
            <x14:sparkline>
              <xm:f>Division!C14:E14</xm:f>
              <xm:sqref>F14</xm:sqref>
            </x14:sparkline>
            <x14:sparkline>
              <xm:f>Division!C15:E15</xm:f>
              <xm:sqref>F15</xm:sqref>
            </x14:sparkline>
            <x14:sparkline>
              <xm:f>Division!C16:E16</xm:f>
              <xm:sqref>F16</xm:sqref>
            </x14:sparkline>
            <x14:sparkline>
              <xm:f>Division!C17:E17</xm:f>
              <xm:sqref>F17</xm:sqref>
            </x14:sparkline>
            <x14:sparkline>
              <xm:f>Division!C18:E18</xm:f>
              <xm:sqref>F18</xm:sqref>
            </x14:sparkline>
            <x14:sparkline>
              <xm:f>Division!C19:E19</xm:f>
              <xm:sqref>F19</xm:sqref>
            </x14:sparkline>
            <x14:sparkline>
              <xm:f>Division!C20:E20</xm:f>
              <xm:sqref>F20</xm:sqref>
            </x14:sparkline>
            <x14:sparkline>
              <xm:f>Division!C21:E21</xm:f>
              <xm:sqref>F21</xm:sqref>
            </x14:sparkline>
            <x14:sparkline>
              <xm:f>Division!C22:E22</xm:f>
              <xm:sqref>F22</xm:sqref>
            </x14:sparkline>
            <x14:sparkline>
              <xm:f>Division!C23:E23</xm:f>
              <xm:sqref>F23</xm:sqref>
            </x14:sparkline>
            <x14:sparkline>
              <xm:f>Division!C24:E24</xm:f>
              <xm:sqref>F24</xm:sqref>
            </x14:sparkline>
            <x14:sparkline>
              <xm:f>Division!C25:E25</xm:f>
              <xm:sqref>F25</xm:sqref>
            </x14:sparkline>
            <x14:sparkline>
              <xm:f>Division!C26:E26</xm:f>
              <xm:sqref>F26</xm:sqref>
            </x14:sparkline>
            <x14:sparkline>
              <xm:f>Division!C27:E27</xm:f>
              <xm:sqref>F27</xm:sqref>
            </x14:sparkline>
            <x14:sparkline>
              <xm:f>Division!C28:E28</xm:f>
              <xm:sqref>F28</xm:sqref>
            </x14:sparkline>
            <x14:sparkline>
              <xm:f>Division!C29:E29</xm:f>
              <xm:sqref>F29</xm:sqref>
            </x14:sparkline>
            <x14:sparkline>
              <xm:f>Division!C30:E30</xm:f>
              <xm:sqref>F30</xm:sqref>
            </x14:sparkline>
            <x14:sparkline>
              <xm:f>Division!C31:E31</xm:f>
              <xm:sqref>F31</xm:sqref>
            </x14:sparkline>
            <x14:sparkline>
              <xm:f>Division!C32:E32</xm:f>
              <xm:sqref>F32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9:O31"/>
  <sheetViews>
    <sheetView topLeftCell="A2" workbookViewId="0">
      <selection activeCell="K20" sqref="K20"/>
    </sheetView>
  </sheetViews>
  <sheetFormatPr defaultRowHeight="14.4" x14ac:dyDescent="0.3"/>
  <cols>
    <col min="1" max="1" width="15.77734375" customWidth="1"/>
    <col min="2" max="2" width="11.21875" customWidth="1"/>
    <col min="3" max="3" width="12.21875" customWidth="1"/>
    <col min="4" max="4" width="9.77734375" customWidth="1"/>
    <col min="9" max="9" width="14.44140625" customWidth="1"/>
  </cols>
  <sheetData>
    <row r="9" spans="1:10" ht="18" x14ac:dyDescent="0.35">
      <c r="A9" s="48" t="s">
        <v>112</v>
      </c>
      <c r="B9" s="48"/>
      <c r="C9" s="48"/>
      <c r="D9" s="48"/>
      <c r="E9" s="48"/>
      <c r="F9" s="48"/>
      <c r="G9" s="48"/>
      <c r="H9" s="48"/>
      <c r="I9" s="48"/>
      <c r="J9" s="48"/>
    </row>
    <row r="11" spans="1:10" ht="28.8" x14ac:dyDescent="0.3">
      <c r="A11" s="29" t="s">
        <v>126</v>
      </c>
      <c r="B11" s="29" t="s">
        <v>118</v>
      </c>
      <c r="C11" s="29" t="s">
        <v>119</v>
      </c>
      <c r="D11" s="29" t="s">
        <v>120</v>
      </c>
      <c r="E11" s="29" t="s">
        <v>121</v>
      </c>
      <c r="F11" s="29" t="s">
        <v>122</v>
      </c>
      <c r="G11" s="29" t="s">
        <v>123</v>
      </c>
      <c r="H11" s="29" t="s">
        <v>124</v>
      </c>
      <c r="I11" s="30" t="s">
        <v>125</v>
      </c>
    </row>
    <row r="12" spans="1:10" x14ac:dyDescent="0.3">
      <c r="A12" s="27" t="s">
        <v>8</v>
      </c>
      <c r="B12">
        <v>3</v>
      </c>
      <c r="C12">
        <v>5</v>
      </c>
      <c r="E12">
        <v>7</v>
      </c>
      <c r="F12">
        <v>6</v>
      </c>
      <c r="G12">
        <v>4</v>
      </c>
      <c r="H12">
        <f>SUM(B12:G12)</f>
        <v>25</v>
      </c>
      <c r="I12">
        <f>COUNTBLANK(Table1[[#This Row],[JANUARY]:[JUNE]])</f>
        <v>1</v>
      </c>
    </row>
    <row r="13" spans="1:10" x14ac:dyDescent="0.3">
      <c r="A13" s="28" t="s">
        <v>13</v>
      </c>
      <c r="B13">
        <v>4</v>
      </c>
      <c r="D13">
        <v>6</v>
      </c>
      <c r="E13">
        <v>2</v>
      </c>
      <c r="G13">
        <v>5</v>
      </c>
      <c r="H13">
        <f t="shared" ref="H13:H20" si="0">SUM(B13:G13)</f>
        <v>17</v>
      </c>
      <c r="I13">
        <f>COUNTBLANK(Table1[[#This Row],[JANUARY]:[JUNE]])</f>
        <v>2</v>
      </c>
    </row>
    <row r="14" spans="1:10" x14ac:dyDescent="0.3">
      <c r="A14" s="28" t="s">
        <v>16</v>
      </c>
      <c r="B14">
        <v>2</v>
      </c>
      <c r="C14">
        <v>4</v>
      </c>
      <c r="D14">
        <v>3</v>
      </c>
      <c r="E14">
        <v>6</v>
      </c>
      <c r="F14">
        <v>5</v>
      </c>
      <c r="G14">
        <v>8</v>
      </c>
      <c r="H14">
        <f t="shared" si="0"/>
        <v>28</v>
      </c>
      <c r="I14">
        <f>COUNTBLANK(Table1[[#This Row],[JANUARY]:[JUNE]])</f>
        <v>0</v>
      </c>
    </row>
    <row r="15" spans="1:10" x14ac:dyDescent="0.3">
      <c r="A15" s="28" t="s">
        <v>19</v>
      </c>
      <c r="C15">
        <v>3</v>
      </c>
      <c r="D15">
        <v>5</v>
      </c>
      <c r="E15">
        <v>2</v>
      </c>
      <c r="F15">
        <v>1</v>
      </c>
      <c r="H15">
        <f t="shared" si="0"/>
        <v>11</v>
      </c>
      <c r="I15">
        <f>COUNTBLANK(Table1[[#This Row],[JANUARY]:[JUNE]])</f>
        <v>2</v>
      </c>
    </row>
    <row r="16" spans="1:10" x14ac:dyDescent="0.3">
      <c r="A16" s="28" t="s">
        <v>22</v>
      </c>
      <c r="B16">
        <v>4</v>
      </c>
      <c r="D16">
        <v>7</v>
      </c>
      <c r="F16">
        <v>4</v>
      </c>
      <c r="G16">
        <v>7</v>
      </c>
      <c r="H16">
        <f t="shared" si="0"/>
        <v>22</v>
      </c>
      <c r="I16">
        <f>COUNTBLANK(Table1[[#This Row],[JANUARY]:[JUNE]])</f>
        <v>2</v>
      </c>
    </row>
    <row r="17" spans="1:15" x14ac:dyDescent="0.3">
      <c r="A17" s="28" t="s">
        <v>26</v>
      </c>
      <c r="D17">
        <v>5</v>
      </c>
      <c r="G17">
        <v>2</v>
      </c>
      <c r="H17">
        <f t="shared" si="0"/>
        <v>7</v>
      </c>
      <c r="I17">
        <f>COUNTBLANK(Table1[[#This Row],[JANUARY]:[JUNE]])</f>
        <v>4</v>
      </c>
    </row>
    <row r="18" spans="1:15" x14ac:dyDescent="0.3">
      <c r="A18" s="28" t="s">
        <v>31</v>
      </c>
      <c r="B18">
        <v>6</v>
      </c>
      <c r="C18">
        <v>2</v>
      </c>
      <c r="E18">
        <v>3</v>
      </c>
      <c r="G18">
        <v>1</v>
      </c>
      <c r="H18">
        <f t="shared" si="0"/>
        <v>12</v>
      </c>
      <c r="I18">
        <f>COUNTBLANK(Table1[[#This Row],[JANUARY]:[JUNE]])</f>
        <v>2</v>
      </c>
    </row>
    <row r="19" spans="1:15" x14ac:dyDescent="0.3">
      <c r="A19" s="28" t="s">
        <v>36</v>
      </c>
      <c r="B19">
        <v>3</v>
      </c>
      <c r="E19">
        <v>2</v>
      </c>
      <c r="G19">
        <v>4</v>
      </c>
      <c r="H19">
        <f t="shared" si="0"/>
        <v>9</v>
      </c>
      <c r="I19">
        <f>COUNTBLANK(Table1[[#This Row],[JANUARY]:[JUNE]])</f>
        <v>3</v>
      </c>
    </row>
    <row r="20" spans="1:15" x14ac:dyDescent="0.3">
      <c r="A20" s="28" t="s">
        <v>40</v>
      </c>
      <c r="B20">
        <v>5</v>
      </c>
      <c r="C20">
        <v>6</v>
      </c>
      <c r="D20">
        <v>3</v>
      </c>
      <c r="F20">
        <v>5</v>
      </c>
      <c r="H20">
        <f t="shared" si="0"/>
        <v>19</v>
      </c>
      <c r="I20">
        <f>COUNTBLANK(Table1[[#This Row],[JANUARY]:[JUNE]])</f>
        <v>2</v>
      </c>
    </row>
    <row r="21" spans="1:15" x14ac:dyDescent="0.3">
      <c r="A21" s="28"/>
    </row>
    <row r="22" spans="1:15" x14ac:dyDescent="0.3">
      <c r="A22" s="28"/>
    </row>
    <row r="23" spans="1:15" ht="14.55" customHeight="1" x14ac:dyDescent="0.3">
      <c r="A23" s="28"/>
      <c r="J23" s="26"/>
      <c r="K23" s="26"/>
      <c r="L23" s="26"/>
      <c r="M23" s="26"/>
    </row>
    <row r="24" spans="1:15" ht="14.55" customHeight="1" x14ac:dyDescent="0.3">
      <c r="A24" s="28"/>
      <c r="N24" s="26"/>
      <c r="O24" s="26"/>
    </row>
    <row r="25" spans="1:15" ht="14.55" customHeight="1" x14ac:dyDescent="0.3">
      <c r="A25" s="28"/>
      <c r="N25" s="26"/>
      <c r="O25" s="26"/>
    </row>
    <row r="26" spans="1:15" ht="14.55" customHeight="1" x14ac:dyDescent="0.3">
      <c r="A26" s="28"/>
      <c r="N26" s="26"/>
      <c r="O26" s="26"/>
    </row>
    <row r="27" spans="1:15" x14ac:dyDescent="0.3">
      <c r="A27" s="28"/>
      <c r="N27" s="26"/>
      <c r="O27" s="26"/>
    </row>
    <row r="28" spans="1:15" x14ac:dyDescent="0.3">
      <c r="A28" s="28"/>
    </row>
    <row r="29" spans="1:15" x14ac:dyDescent="0.3">
      <c r="A29" s="28"/>
    </row>
    <row r="30" spans="1:15" x14ac:dyDescent="0.3">
      <c r="A30" s="28"/>
    </row>
    <row r="31" spans="1:15" x14ac:dyDescent="0.3">
      <c r="A31" s="28"/>
    </row>
  </sheetData>
  <mergeCells count="1">
    <mergeCell ref="A9:J9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8:E30"/>
  <sheetViews>
    <sheetView tabSelected="1" topLeftCell="A4" zoomScale="98" zoomScaleNormal="98" workbookViewId="0">
      <selection activeCell="E11" sqref="E11:E25"/>
    </sheetView>
  </sheetViews>
  <sheetFormatPr defaultRowHeight="14.4" x14ac:dyDescent="0.3"/>
  <cols>
    <col min="1" max="4" width="14.77734375" customWidth="1"/>
    <col min="5" max="5" width="38.44140625" customWidth="1"/>
  </cols>
  <sheetData>
    <row r="8" spans="1:5" ht="18" thickBot="1" x14ac:dyDescent="0.4">
      <c r="A8" s="46" t="s">
        <v>135</v>
      </c>
      <c r="B8" s="46"/>
      <c r="C8" s="46"/>
      <c r="D8" s="46"/>
      <c r="E8" s="46"/>
    </row>
    <row r="9" spans="1:5" ht="15" thickTop="1" x14ac:dyDescent="0.3"/>
    <row r="10" spans="1:5" ht="15" thickBot="1" x14ac:dyDescent="0.35">
      <c r="A10" s="34" t="s">
        <v>0</v>
      </c>
      <c r="B10" s="34" t="s">
        <v>1</v>
      </c>
      <c r="C10" s="34" t="s">
        <v>2</v>
      </c>
      <c r="D10" s="34" t="s">
        <v>3</v>
      </c>
      <c r="E10" s="34" t="s">
        <v>133</v>
      </c>
    </row>
    <row r="11" spans="1:5" x14ac:dyDescent="0.3">
      <c r="A11" s="31">
        <v>1814</v>
      </c>
      <c r="B11" s="31" t="s">
        <v>8</v>
      </c>
      <c r="C11" s="31" t="s">
        <v>9</v>
      </c>
      <c r="D11" s="31" t="s">
        <v>10</v>
      </c>
      <c r="E11" s="61" t="str">
        <f>CONCATENATE(Table3[[#This Row],[First Name]],"@alfainsurance.com")</f>
        <v>Daoud@alfainsurance.com</v>
      </c>
    </row>
    <row r="12" spans="1:5" x14ac:dyDescent="0.3">
      <c r="A12" s="3">
        <v>1721</v>
      </c>
      <c r="B12" s="3" t="s">
        <v>13</v>
      </c>
      <c r="C12" s="3" t="s">
        <v>14</v>
      </c>
      <c r="D12" s="3" t="s">
        <v>10</v>
      </c>
      <c r="E12" s="61" t="str">
        <f>CONCATENATE(Table3[[#This Row],[First Name]],"@alfainsurance.com")</f>
        <v>Isolde@alfainsurance.com</v>
      </c>
    </row>
    <row r="13" spans="1:5" x14ac:dyDescent="0.3">
      <c r="A13" s="32">
        <v>1999</v>
      </c>
      <c r="B13" s="32" t="s">
        <v>16</v>
      </c>
      <c r="C13" s="32" t="s">
        <v>17</v>
      </c>
      <c r="D13" s="32" t="s">
        <v>10</v>
      </c>
      <c r="E13" s="61" t="str">
        <f>CONCATENATE(Table3[[#This Row],[First Name]],"@alfainsurance.com")</f>
        <v>Katherine@alfainsurance.com</v>
      </c>
    </row>
    <row r="14" spans="1:5" x14ac:dyDescent="0.3">
      <c r="A14" s="3">
        <v>1196</v>
      </c>
      <c r="B14" s="3" t="s">
        <v>19</v>
      </c>
      <c r="C14" s="3" t="s">
        <v>20</v>
      </c>
      <c r="D14" s="3" t="s">
        <v>10</v>
      </c>
      <c r="E14" s="61" t="str">
        <f>CONCATENATE(Table3[[#This Row],[First Name]],"@alfainsurance.com")</f>
        <v>Katie@alfainsurance.com</v>
      </c>
    </row>
    <row r="15" spans="1:5" x14ac:dyDescent="0.3">
      <c r="A15" s="32">
        <v>1906</v>
      </c>
      <c r="B15" s="32" t="s">
        <v>22</v>
      </c>
      <c r="C15" s="32" t="s">
        <v>23</v>
      </c>
      <c r="D15" s="32" t="s">
        <v>24</v>
      </c>
      <c r="E15" s="61" t="str">
        <f>CONCATENATE(Table3[[#This Row],[First Name]],"@alfainsurance.com")</f>
        <v>Rowena@alfainsurance.com</v>
      </c>
    </row>
    <row r="16" spans="1:5" x14ac:dyDescent="0.3">
      <c r="A16" s="3">
        <v>1792</v>
      </c>
      <c r="B16" s="3" t="s">
        <v>26</v>
      </c>
      <c r="C16" s="3" t="s">
        <v>27</v>
      </c>
      <c r="D16" s="3" t="s">
        <v>28</v>
      </c>
      <c r="E16" s="61" t="str">
        <f>CONCATENATE(Table3[[#This Row],[First Name]],"@alfainsurance.com")</f>
        <v>Eileen@alfainsurance.com</v>
      </c>
    </row>
    <row r="17" spans="1:5" x14ac:dyDescent="0.3">
      <c r="A17" s="32">
        <v>1516</v>
      </c>
      <c r="B17" s="32" t="s">
        <v>31</v>
      </c>
      <c r="C17" s="32" t="s">
        <v>32</v>
      </c>
      <c r="D17" s="32" t="s">
        <v>33</v>
      </c>
      <c r="E17" s="61" t="str">
        <f>CONCATENATE(Table3[[#This Row],[First Name]],"@alfainsurance.com")</f>
        <v>Tom@alfainsurance.com</v>
      </c>
    </row>
    <row r="18" spans="1:5" x14ac:dyDescent="0.3">
      <c r="A18" s="3">
        <v>1284</v>
      </c>
      <c r="B18" s="3" t="s">
        <v>36</v>
      </c>
      <c r="C18" s="3" t="s">
        <v>37</v>
      </c>
      <c r="D18" s="3" t="s">
        <v>38</v>
      </c>
      <c r="E18" s="61" t="str">
        <f>CONCATENATE(Table3[[#This Row],[First Name]],"@alfainsurance.com")</f>
        <v>Frank@alfainsurance.com</v>
      </c>
    </row>
    <row r="19" spans="1:5" x14ac:dyDescent="0.3">
      <c r="A19" s="32">
        <v>1982</v>
      </c>
      <c r="B19" s="32" t="s">
        <v>40</v>
      </c>
      <c r="C19" s="32" t="s">
        <v>41</v>
      </c>
      <c r="D19" s="32" t="s">
        <v>24</v>
      </c>
      <c r="E19" s="61" t="str">
        <f>CONCATENATE(Table3[[#This Row],[First Name]],"@alfainsurance.com")</f>
        <v>Elaine@alfainsurance.com</v>
      </c>
    </row>
    <row r="20" spans="1:5" x14ac:dyDescent="0.3">
      <c r="A20" s="3">
        <v>1167</v>
      </c>
      <c r="B20" s="3" t="s">
        <v>40</v>
      </c>
      <c r="C20" s="3" t="s">
        <v>43</v>
      </c>
      <c r="D20" s="3" t="s">
        <v>24</v>
      </c>
      <c r="E20" s="61" t="str">
        <f>CONCATENATE(Table3[[#This Row],[First Name]],"@alfainsurance.com")</f>
        <v>Sam@alfainsurance.com</v>
      </c>
    </row>
    <row r="21" spans="1:5" x14ac:dyDescent="0.3">
      <c r="A21" s="32">
        <v>1673</v>
      </c>
      <c r="B21" s="32" t="s">
        <v>113</v>
      </c>
      <c r="C21" s="32" t="s">
        <v>37</v>
      </c>
      <c r="D21" s="32" t="s">
        <v>127</v>
      </c>
      <c r="E21" s="61" t="str">
        <f>CONCATENATE(Table3[[#This Row],[First Name]],"@alfainsurance.com")</f>
        <v>Frank@alfainsurance.com</v>
      </c>
    </row>
    <row r="22" spans="1:5" x14ac:dyDescent="0.3">
      <c r="A22" s="3">
        <v>1758</v>
      </c>
      <c r="B22" s="3" t="s">
        <v>114</v>
      </c>
      <c r="C22" s="3" t="s">
        <v>128</v>
      </c>
      <c r="D22" s="3" t="s">
        <v>33</v>
      </c>
      <c r="E22" s="61" t="str">
        <f>CONCATENATE(Table3[[#This Row],[First Name]],"@alfainsurance.com")</f>
        <v>Melia@alfainsurance.com</v>
      </c>
    </row>
    <row r="23" spans="1:5" x14ac:dyDescent="0.3">
      <c r="A23" s="32">
        <v>1990</v>
      </c>
      <c r="B23" s="32" t="s">
        <v>115</v>
      </c>
      <c r="C23" s="32" t="s">
        <v>129</v>
      </c>
      <c r="D23" s="32" t="s">
        <v>130</v>
      </c>
      <c r="E23" s="61" t="str">
        <f>CONCATENATE(Table3[[#This Row],[First Name]],"@alfainsurance.com")</f>
        <v>Jessica@alfainsurance.com</v>
      </c>
    </row>
    <row r="24" spans="1:5" x14ac:dyDescent="0.3">
      <c r="A24" s="3">
        <v>1290</v>
      </c>
      <c r="B24" s="3" t="s">
        <v>116</v>
      </c>
      <c r="C24" s="3" t="s">
        <v>131</v>
      </c>
      <c r="D24" s="3" t="s">
        <v>127</v>
      </c>
      <c r="E24" s="61" t="str">
        <f>CONCATENATE(Table3[[#This Row],[First Name]],"@alfainsurance.com")</f>
        <v>Linda@alfainsurance.com</v>
      </c>
    </row>
    <row r="25" spans="1:5" x14ac:dyDescent="0.3">
      <c r="A25" s="33">
        <v>1966</v>
      </c>
      <c r="B25" s="33" t="s">
        <v>117</v>
      </c>
      <c r="C25" s="33" t="s">
        <v>132</v>
      </c>
      <c r="D25" s="33" t="s">
        <v>24</v>
      </c>
      <c r="E25" s="61" t="str">
        <f>CONCATENATE(Table3[[#This Row],[First Name]],"@alfainsurance.com")</f>
        <v>Charles@alfainsurance.com</v>
      </c>
    </row>
    <row r="27" spans="1:5" ht="14.55" customHeight="1" x14ac:dyDescent="0.3"/>
    <row r="28" spans="1:5" ht="14.55" customHeight="1" x14ac:dyDescent="0.3"/>
    <row r="29" spans="1:5" ht="14.55" customHeight="1" x14ac:dyDescent="0.3"/>
    <row r="30" spans="1:5" ht="14.55" customHeight="1" x14ac:dyDescent="0.3"/>
  </sheetData>
  <mergeCells count="1">
    <mergeCell ref="A8:E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info</vt:lpstr>
      <vt:lpstr>Sales 2020</vt:lpstr>
      <vt:lpstr>Sales person</vt:lpstr>
      <vt:lpstr>Segment</vt:lpstr>
      <vt:lpstr>Division</vt:lpstr>
      <vt:lpstr>Insurance policy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2025-12-27T05:27:43Z</dcterms:modified>
</cp:coreProperties>
</file>