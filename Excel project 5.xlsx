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19420" windowHeight="11020" activeTab="6"/>
  </bookViews>
  <sheets>
    <sheet name="Employee details" sheetId="1" r:id="rId1"/>
    <sheet name="Bar chart" sheetId="2" r:id="rId2"/>
    <sheet name="Division Sales" sheetId="3" r:id="rId3"/>
    <sheet name="Cost" sheetId="4" r:id="rId4"/>
    <sheet name="WEEK" sheetId="5" r:id="rId5"/>
    <sheet name="customer" sheetId="6" r:id="rId6"/>
    <sheet name="Quote" sheetId="8" r:id="rId7"/>
  </sheets>
  <externalReferences>
    <externalReference r:id="rId8"/>
  </externalReferences>
  <definedNames>
    <definedName name="ColumnTitle1">#REF!</definedName>
    <definedName name="ColumnTitle2">[1]!RoomLookup[[#Headers],[Room/Area]]</definedName>
    <definedName name="Price_Unit">'Employee details'!$D$9:$D$18</definedName>
    <definedName name="RoomList">[1]!RoomLookup[#Data]</definedName>
    <definedName name="RowTitleRegion1..E2">#REF!</definedName>
    <definedName name="RowTitleRegion2..I2">#REF!</definedName>
    <definedName name="RowTitleRegion3..D8">#REF!</definedName>
    <definedName name="RowTitleRegion4..I8">#REF!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" i="8"/>
  <c r="F36"/>
  <c r="F35"/>
  <c r="F34"/>
  <c r="F33"/>
  <c r="F32"/>
  <c r="F31"/>
  <c r="F38" l="1"/>
  <c r="F40" s="1"/>
  <c r="F41" s="1"/>
  <c r="F42" l="1"/>
  <c r="F43" s="1"/>
  <c r="F15" i="5"/>
  <c r="F14"/>
  <c r="F13"/>
  <c r="F12"/>
  <c r="F11"/>
</calcChain>
</file>

<file path=xl/sharedStrings.xml><?xml version="1.0" encoding="utf-8"?>
<sst xmlns="http://schemas.openxmlformats.org/spreadsheetml/2006/main" count="283" uniqueCount="218">
  <si>
    <t>Division</t>
  </si>
  <si>
    <t>Category</t>
  </si>
  <si>
    <t>Jan</t>
  </si>
  <si>
    <t>Feb</t>
  </si>
  <si>
    <t>Mar</t>
  </si>
  <si>
    <t>East</t>
  </si>
  <si>
    <t>Technical Support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</si>
  <si>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</si>
  <si>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</si>
  <si>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</si>
  <si>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</si>
  <si>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</si>
  <si>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</si>
  <si>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</si>
  <si>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</si>
  <si>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</si>
  <si>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</si>
  <si>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</si>
  <si>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</si>
  <si>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</si>
  <si>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</si>
  <si>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</si>
  <si>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</si>
  <si>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</si>
  <si>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</si>
  <si>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</si>
  <si>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</si>
  <si>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</si>
  <si>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Al-Sabah</t>
  </si>
  <si>
    <t>Daoud</t>
  </si>
  <si>
    <t>HR</t>
  </si>
  <si>
    <t>daouda</t>
  </si>
  <si>
    <t>Building 3</t>
  </si>
  <si>
    <t>Alstain</t>
  </si>
  <si>
    <t>Isolde</t>
  </si>
  <si>
    <t>isoldea</t>
  </si>
  <si>
    <t>Atherly</t>
  </si>
  <si>
    <t>Katherine</t>
  </si>
  <si>
    <t>kathya</t>
  </si>
  <si>
    <t>Atherton</t>
  </si>
  <si>
    <t>Katie</t>
  </si>
  <si>
    <t>katiea</t>
  </si>
  <si>
    <t>Bankler</t>
  </si>
  <si>
    <t>Rowena</t>
  </si>
  <si>
    <t>SA</t>
  </si>
  <si>
    <t>rowenab</t>
  </si>
  <si>
    <t>Barton</t>
  </si>
  <si>
    <t>Eileen</t>
  </si>
  <si>
    <t>AT</t>
  </si>
  <si>
    <t>eileenb</t>
  </si>
  <si>
    <t>Building 1</t>
  </si>
  <si>
    <t>Bell</t>
  </si>
  <si>
    <t>Tom</t>
  </si>
  <si>
    <t>AC</t>
  </si>
  <si>
    <t>tomb</t>
  </si>
  <si>
    <t>Building 2</t>
  </si>
  <si>
    <t>EMPLOYEE DETAILS</t>
  </si>
  <si>
    <t>North</t>
  </si>
  <si>
    <t>South</t>
  </si>
  <si>
    <t>West</t>
  </si>
  <si>
    <t>DIVISION WISE SALES</t>
  </si>
  <si>
    <t>Month</t>
  </si>
  <si>
    <t>Year</t>
  </si>
  <si>
    <t>Cost</t>
  </si>
  <si>
    <t>Items</t>
  </si>
  <si>
    <t>Buyer</t>
  </si>
  <si>
    <t>January</t>
  </si>
  <si>
    <t>Smyth</t>
  </si>
  <si>
    <t>May</t>
  </si>
  <si>
    <t>June</t>
  </si>
  <si>
    <t>August</t>
  </si>
  <si>
    <t>De Soto</t>
  </si>
  <si>
    <t>Reynolds</t>
  </si>
  <si>
    <t>February</t>
  </si>
  <si>
    <t>March</t>
  </si>
  <si>
    <t>April</t>
  </si>
  <si>
    <t>Sales Person</t>
  </si>
  <si>
    <t>Week 1</t>
  </si>
  <si>
    <t>Week 2</t>
  </si>
  <si>
    <t>Week 3</t>
  </si>
  <si>
    <t>Week 4</t>
  </si>
  <si>
    <t>Totals</t>
  </si>
  <si>
    <t>R.Smith</t>
  </si>
  <si>
    <t>H. James</t>
  </si>
  <si>
    <t>S.O'Brian</t>
  </si>
  <si>
    <t>L. Carrie</t>
  </si>
  <si>
    <t>K. Dunn</t>
  </si>
  <si>
    <t>Sales Figures, January 2021</t>
  </si>
  <si>
    <t>Customer ID</t>
  </si>
  <si>
    <t>Company Name</t>
  </si>
  <si>
    <t>Contact Name</t>
  </si>
  <si>
    <t>Contact Title</t>
  </si>
  <si>
    <t>Address</t>
  </si>
  <si>
    <t>ALFKI</t>
  </si>
  <si>
    <t>Alfreds Futterkiste</t>
  </si>
  <si>
    <t>Maria Anders</t>
  </si>
  <si>
    <t>Sales Representative</t>
  </si>
  <si>
    <t>Obere Str. 57</t>
  </si>
  <si>
    <t>ANATR</t>
  </si>
  <si>
    <t>Ana Trujillo Emparedados y helados</t>
  </si>
  <si>
    <t>Ana Trujillo</t>
  </si>
  <si>
    <t>Owner</t>
  </si>
  <si>
    <t>Avda. de la Constitución 2222</t>
  </si>
  <si>
    <t>ANTON</t>
  </si>
  <si>
    <t>Antonio Moreno Taquería</t>
  </si>
  <si>
    <t>Antonio Moreno</t>
  </si>
  <si>
    <t>Mataderos  2312</t>
  </si>
  <si>
    <t>AROUT</t>
  </si>
  <si>
    <t>Around the Horn</t>
  </si>
  <si>
    <t>Thomas Hardy</t>
  </si>
  <si>
    <t>120 Hanover Sq.</t>
  </si>
  <si>
    <t>BERGS</t>
  </si>
  <si>
    <t>Berglunds snabbköp</t>
  </si>
  <si>
    <t>Christina Berglund</t>
  </si>
  <si>
    <t>Order Administrator</t>
  </si>
  <si>
    <t>Berguvsvägen  8</t>
  </si>
  <si>
    <t>BLAUS</t>
  </si>
  <si>
    <t>Blauer See Delikatessen</t>
  </si>
  <si>
    <t>Hanna Moos</t>
  </si>
  <si>
    <t>Forsterstr. 57</t>
  </si>
  <si>
    <t>BLONP</t>
  </si>
  <si>
    <t>Blondel père et fils</t>
  </si>
  <si>
    <t>Frédérique Citeaux</t>
  </si>
  <si>
    <t>Marketing Manager</t>
  </si>
  <si>
    <t>24, place Kléber</t>
  </si>
  <si>
    <t>BOLID</t>
  </si>
  <si>
    <t>Bólido Comidas preparadas</t>
  </si>
  <si>
    <t>Martín Sommer</t>
  </si>
  <si>
    <t>C/ Araquil, 67</t>
  </si>
  <si>
    <t>BONAP</t>
  </si>
  <si>
    <t>Bon app'</t>
  </si>
  <si>
    <t>Laurence Lebihan</t>
  </si>
  <si>
    <t>12, rue des Bouchers</t>
  </si>
  <si>
    <t>BOTTM</t>
  </si>
  <si>
    <t>Bottom-Dollar Markets</t>
  </si>
  <si>
    <t>Elizabeth Lincoln</t>
  </si>
  <si>
    <t>Accounting Manager</t>
  </si>
  <si>
    <t>23 Tsawassen Blvd.</t>
  </si>
  <si>
    <t>BSBEV</t>
  </si>
  <si>
    <t>B's Beverages</t>
  </si>
  <si>
    <t>Victoria Ashworth</t>
  </si>
  <si>
    <t>Fauntleroy Circus</t>
  </si>
  <si>
    <t>CACTU</t>
  </si>
  <si>
    <t>Cactus Comidas para llevar</t>
  </si>
  <si>
    <t>Patricio Simpson</t>
  </si>
  <si>
    <t>Sales Agent</t>
  </si>
  <si>
    <t>Cerrito 333</t>
  </si>
  <si>
    <t>CENTC</t>
  </si>
  <si>
    <t>Centro comercial Moctezuma</t>
  </si>
  <si>
    <t>Francisco Chang</t>
  </si>
  <si>
    <t>Sierras de Granada 9993</t>
  </si>
  <si>
    <t>CHOPS</t>
  </si>
  <si>
    <t>Chop-suey Chinese</t>
  </si>
  <si>
    <t>Yang Wang</t>
  </si>
  <si>
    <t>Hauptstr. 29</t>
  </si>
  <si>
    <t>COMMI</t>
  </si>
  <si>
    <t>Comércio Mineiro</t>
  </si>
  <si>
    <t>Pedro Afonso</t>
  </si>
  <si>
    <t>Sales Associate</t>
  </si>
  <si>
    <t>Av. dos Lusíadas, 23</t>
  </si>
  <si>
    <t>CONSH</t>
  </si>
  <si>
    <t>Consolidated Holdings</t>
  </si>
  <si>
    <t>Elizabeth Brown</t>
  </si>
  <si>
    <t xml:space="preserve">Berkeley Gardens 12  Brewery </t>
  </si>
  <si>
    <t>BLUE SKY INDIA LIMITED</t>
  </si>
  <si>
    <t>Quotation</t>
  </si>
  <si>
    <t>Manish Plaza, Third Floor, Plot No. 44</t>
  </si>
  <si>
    <t>Sector-20, Dwarka- 110075</t>
  </si>
  <si>
    <t>BILLING ADDRESS</t>
  </si>
  <si>
    <t>TechGuruPlus</t>
  </si>
  <si>
    <t>QUOTATION NO.</t>
  </si>
  <si>
    <t>2326 / 2017-18</t>
  </si>
  <si>
    <t xml:space="preserve">D-1234, Okhla Industrial Area, </t>
  </si>
  <si>
    <t xml:space="preserve">QUOTATION DATE </t>
  </si>
  <si>
    <t>12-07-2017</t>
  </si>
  <si>
    <t>New Delhi-110020</t>
  </si>
  <si>
    <t xml:space="preserve">OUR ORDER NO.  </t>
  </si>
  <si>
    <t>Phone : 013552124512</t>
  </si>
  <si>
    <t xml:space="preserve">YOUR ORDER NO.  </t>
  </si>
  <si>
    <t>GSTIN : 087614164111212</t>
  </si>
  <si>
    <t xml:space="preserve">PAYMENT TERMS  </t>
  </si>
  <si>
    <t>30 Days</t>
  </si>
  <si>
    <t>SHIPPING ADDRESS</t>
  </si>
  <si>
    <t>TRANSPORT</t>
  </si>
  <si>
    <t>TGT Transport Service</t>
  </si>
  <si>
    <t>G.R. NO.</t>
  </si>
  <si>
    <t>36669455</t>
  </si>
  <si>
    <t xml:space="preserve">CHALLAN NO. </t>
  </si>
  <si>
    <t>20158/200</t>
  </si>
  <si>
    <t>STATE NAME</t>
  </si>
  <si>
    <t>DELHI</t>
  </si>
  <si>
    <t>STATE CODE</t>
  </si>
  <si>
    <t>DESCRIPTION OF GOODS / SERVICE</t>
  </si>
  <si>
    <t>HSN CODE</t>
  </si>
  <si>
    <t>QTY</t>
  </si>
  <si>
    <t>ITEM NO. 1</t>
  </si>
  <si>
    <t>RATE</t>
  </si>
  <si>
    <t>AMOUNT</t>
  </si>
  <si>
    <t>ITEM NO. 2</t>
  </si>
  <si>
    <t>ITEM NO. 3</t>
  </si>
  <si>
    <t>ITEM NO. 4</t>
  </si>
  <si>
    <t>ITEM NO. 5</t>
  </si>
  <si>
    <t>THANK YOU FOR YOUR BUSINESS!</t>
  </si>
  <si>
    <t>Total</t>
  </si>
  <si>
    <t>Freight Charges</t>
  </si>
  <si>
    <t>Grand Total</t>
  </si>
  <si>
    <t>SGST @ 9 %</t>
  </si>
  <si>
    <t>CGST @ 9 %</t>
  </si>
  <si>
    <t>E.&amp;.O.E.</t>
  </si>
  <si>
    <t>Grand Total (Including Tax)</t>
  </si>
  <si>
    <t>Amount in Words :</t>
  </si>
  <si>
    <t>Fourteen Thousand Five Hundred &amp; Twenty Three Only/-</t>
  </si>
  <si>
    <t>Please Make the Cheque in Favour of "BLUE SKY INDIA LIMITED"</t>
  </si>
  <si>
    <t>for BLUE SKY INDIA LIMITED</t>
  </si>
  <si>
    <t xml:space="preserve">Authorized Signatory </t>
  </si>
  <si>
    <t>BAR CHART</t>
  </si>
  <si>
    <t>COST</t>
  </si>
  <si>
    <t>CUSTOMER</t>
  </si>
</sst>
</file>

<file path=xl/styles.xml><?xml version="1.0" encoding="utf-8"?>
<styleSheet xmlns="http://schemas.openxmlformats.org/spreadsheetml/2006/main">
  <numFmts count="10">
    <numFmt numFmtId="164" formatCode="&quot;$&quot;#,##0.00_);\(&quot;$&quot;#,##0.0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dd\-mmm\-yy"/>
    <numFmt numFmtId="169" formatCode="_(&quot;$&quot;* #,##0_);_(&quot;$&quot;* \(#,##0\);_(&quot;$&quot;* &quot;-&quot;??_);_(@_)"/>
    <numFmt numFmtId="170" formatCode="[&lt;=9999999]###\-####;\(###\)\ ###\-####"/>
    <numFmt numFmtId="171" formatCode="0_);\(0\)"/>
    <numFmt numFmtId="172" formatCode="mmmm\ d\,\ yyyy"/>
    <numFmt numFmtId="173" formatCode="_(* #,##0_);_(* \(#,##0\);_(* &quot;-&quot;??_);_(@_)"/>
  </numFmts>
  <fonts count="3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indexed="8"/>
      <name val="Arial"/>
      <family val="2"/>
    </font>
    <font>
      <sz val="10"/>
      <color indexed="18"/>
      <name val="Arial"/>
      <family val="2"/>
    </font>
    <font>
      <sz val="10"/>
      <color indexed="8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i/>
      <sz val="11"/>
      <color indexed="9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b/>
      <sz val="26"/>
      <color theme="3"/>
      <name val="Calibri Light"/>
      <family val="2"/>
      <scheme val="major"/>
    </font>
    <font>
      <sz val="26"/>
      <color theme="2" tint="-0.499984740745262"/>
      <name val="Calibri Light"/>
      <family val="2"/>
      <scheme val="major"/>
    </font>
    <font>
      <b/>
      <sz val="16"/>
      <color theme="2" tint="-0.749961851863155"/>
      <name val="Calibri Light"/>
      <family val="2"/>
      <scheme val="major"/>
    </font>
    <font>
      <b/>
      <sz val="16"/>
      <color theme="4"/>
      <name val="Calibri"/>
      <family val="2"/>
      <scheme val="minor"/>
    </font>
    <font>
      <b/>
      <sz val="11"/>
      <color theme="2" tint="-0.749961851863155"/>
      <name val="Calibri Light"/>
      <family val="2"/>
      <scheme val="major"/>
    </font>
    <font>
      <sz val="11"/>
      <color theme="3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sz val="10"/>
      <color theme="0"/>
      <name val="Arial"/>
      <family val="2"/>
    </font>
    <font>
      <sz val="26"/>
      <color theme="0"/>
      <name val="Times New Roman"/>
      <family val="1"/>
    </font>
    <font>
      <b/>
      <i/>
      <sz val="24"/>
      <color theme="0"/>
      <name val="Times New Roman"/>
      <family val="1"/>
    </font>
    <font>
      <b/>
      <sz val="9"/>
      <color theme="0"/>
      <name val="Arial"/>
      <family val="2"/>
    </font>
    <font>
      <sz val="8"/>
      <color indexed="8"/>
      <name val="Arial"/>
      <family val="2"/>
    </font>
    <font>
      <b/>
      <u/>
      <sz val="10"/>
      <color theme="0"/>
      <name val="Tahoma"/>
      <family val="2"/>
    </font>
    <font>
      <sz val="10"/>
      <color theme="0"/>
      <name val="Tahoma"/>
      <family val="2"/>
    </font>
    <font>
      <b/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-0.499984740745262"/>
        <bgColor indexed="26"/>
      </patternFill>
    </fill>
    <fill>
      <patternFill patternType="solid">
        <fgColor theme="9" tint="-0.499984740745262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9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dashed">
        <color indexed="64"/>
      </left>
      <right style="dashed">
        <color indexed="64"/>
      </right>
      <top style="medium">
        <color auto="1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auto="1"/>
      </right>
      <top style="medium">
        <color auto="1"/>
      </top>
      <bottom/>
      <diagonal/>
    </border>
    <border>
      <left style="dashed">
        <color indexed="64"/>
      </left>
      <right style="medium">
        <color auto="1"/>
      </right>
      <top/>
      <bottom/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6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7" fillId="0" borderId="0"/>
    <xf numFmtId="0" fontId="7" fillId="0" borderId="0"/>
    <xf numFmtId="0" fontId="15" fillId="0" borderId="0">
      <alignment horizontal="left" vertical="center"/>
    </xf>
    <xf numFmtId="14" fontId="17" fillId="0" borderId="0" applyFill="0" applyBorder="0" applyAlignment="0">
      <alignment horizontal="right" vertical="center"/>
    </xf>
    <xf numFmtId="0" fontId="11" fillId="0" borderId="0">
      <alignment vertical="center" wrapText="1"/>
    </xf>
    <xf numFmtId="170" fontId="3" fillId="0" borderId="0" applyFont="0" applyFill="0" applyBorder="0" applyAlignment="0">
      <alignment wrapText="1"/>
    </xf>
    <xf numFmtId="0" fontId="11" fillId="9" borderId="0" applyBorder="0">
      <alignment horizontal="center" vertical="center"/>
    </xf>
    <xf numFmtId="49" fontId="3" fillId="0" borderId="0" applyFont="0" applyFill="0" applyBorder="0">
      <alignment horizontal="center" vertical="center" wrapText="1"/>
    </xf>
    <xf numFmtId="14" fontId="3" fillId="0" borderId="0" applyFont="0" applyFill="0" applyBorder="0">
      <alignment horizontal="center" vertical="center" wrapText="1"/>
    </xf>
    <xf numFmtId="0" fontId="3" fillId="0" borderId="0" applyFill="0" applyBorder="0">
      <alignment horizontal="left" vertical="center" wrapText="1" indent="1"/>
    </xf>
    <xf numFmtId="0" fontId="14" fillId="0" borderId="0" applyFill="0" applyBorder="0">
      <alignment vertical="center" wrapText="1"/>
    </xf>
    <xf numFmtId="0" fontId="16" fillId="7" borderId="12" applyAlignment="0">
      <alignment horizontal="left" vertical="center" indent="1"/>
    </xf>
    <xf numFmtId="164" fontId="17" fillId="7" borderId="0" applyFill="0" applyBorder="0">
      <alignment horizontal="right" vertical="center"/>
    </xf>
    <xf numFmtId="0" fontId="16" fillId="7" borderId="12">
      <alignment horizontal="right" vertical="center"/>
    </xf>
    <xf numFmtId="0" fontId="18" fillId="8" borderId="12" applyAlignment="0">
      <alignment horizontal="left" vertical="center" indent="1"/>
    </xf>
    <xf numFmtId="0" fontId="19" fillId="8" borderId="12" applyAlignment="0">
      <alignment horizontal="left" vertical="center" wrapText="1" indent="1"/>
    </xf>
    <xf numFmtId="0" fontId="18" fillId="0" borderId="0">
      <alignment horizontal="right" vertical="center" indent="1"/>
    </xf>
    <xf numFmtId="171" fontId="3" fillId="0" borderId="0" applyFont="0" applyFill="0" applyBorder="0" applyProtection="0">
      <alignment horizontal="center" vertical="center"/>
    </xf>
    <xf numFmtId="164" fontId="3" fillId="0" borderId="0" applyFont="0" applyFill="0" applyBorder="0" applyProtection="0">
      <alignment horizontal="right" vertical="center" indent="1"/>
    </xf>
    <xf numFmtId="167" fontId="3" fillId="0" borderId="0" applyFont="0" applyFill="0" applyBorder="0" applyAlignment="0" applyProtection="0"/>
    <xf numFmtId="0" fontId="31" fillId="0" borderId="46" applyNumberFormat="0" applyFill="0" applyAlignment="0" applyProtection="0"/>
    <xf numFmtId="0" fontId="32" fillId="0" borderId="47" applyNumberFormat="0" applyFill="0" applyAlignment="0" applyProtection="0"/>
  </cellStyleXfs>
  <cellXfs count="130">
    <xf numFmtId="0" fontId="0" fillId="0" borderId="0" xfId="0"/>
    <xf numFmtId="0" fontId="1" fillId="0" borderId="0" xfId="1"/>
    <xf numFmtId="165" fontId="1" fillId="0" borderId="0" xfId="2" applyFont="1"/>
    <xf numFmtId="165" fontId="1" fillId="0" borderId="0" xfId="2" applyFont="1" applyAlignment="1">
      <alignment horizontal="right"/>
    </xf>
    <xf numFmtId="0" fontId="1" fillId="0" borderId="0" xfId="1" applyFont="1"/>
    <xf numFmtId="0" fontId="4" fillId="3" borderId="1" xfId="4" applyFont="1" applyFill="1" applyBorder="1" applyAlignment="1">
      <alignment horizontal="center" vertical="center"/>
    </xf>
    <xf numFmtId="0" fontId="7" fillId="0" borderId="3" xfId="4" applyFont="1" applyFill="1" applyBorder="1" applyAlignment="1">
      <alignment horizontal="center" vertical="center" wrapText="1"/>
    </xf>
    <xf numFmtId="168" fontId="7" fillId="0" borderId="3" xfId="4" applyNumberFormat="1" applyFont="1" applyFill="1" applyBorder="1" applyAlignment="1">
      <alignment horizontal="center" vertical="center" wrapText="1"/>
    </xf>
    <xf numFmtId="0" fontId="7" fillId="0" borderId="4" xfId="4" applyFont="1" applyFill="1" applyBorder="1" applyAlignment="1">
      <alignment horizontal="center" vertical="center" wrapText="1"/>
    </xf>
    <xf numFmtId="168" fontId="7" fillId="0" borderId="4" xfId="4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/>
    </xf>
    <xf numFmtId="0" fontId="0" fillId="0" borderId="0" xfId="0" applyAlignment="1">
      <alignment horizontal="right"/>
    </xf>
    <xf numFmtId="169" fontId="3" fillId="0" borderId="0" xfId="3" applyNumberFormat="1" applyAlignment="1">
      <alignment horizontal="right"/>
    </xf>
    <xf numFmtId="169" fontId="0" fillId="0" borderId="7" xfId="3" applyNumberFormat="1" applyFont="1" applyBorder="1" applyAlignment="1">
      <alignment horizontal="center"/>
    </xf>
    <xf numFmtId="169" fontId="0" fillId="0" borderId="8" xfId="3" applyNumberFormat="1" applyFont="1" applyBorder="1" applyAlignment="1">
      <alignment horizontal="center"/>
    </xf>
    <xf numFmtId="169" fontId="0" fillId="0" borderId="9" xfId="3" applyNumberFormat="1" applyFont="1" applyBorder="1" applyAlignment="1">
      <alignment horizontal="center"/>
    </xf>
    <xf numFmtId="169" fontId="0" fillId="0" borderId="10" xfId="3" applyNumberFormat="1" applyFont="1" applyBorder="1" applyAlignment="1">
      <alignment horizontal="center"/>
    </xf>
    <xf numFmtId="0" fontId="13" fillId="6" borderId="4" xfId="5" applyNumberFormat="1" applyFont="1" applyFill="1" applyBorder="1" applyAlignment="1">
      <alignment wrapText="1"/>
    </xf>
    <xf numFmtId="0" fontId="13" fillId="0" borderId="4" xfId="5" applyNumberFormat="1" applyFont="1" applyBorder="1" applyAlignment="1">
      <alignment wrapText="1"/>
    </xf>
    <xf numFmtId="0" fontId="22" fillId="10" borderId="13" xfId="0" applyFont="1" applyFill="1" applyBorder="1" applyAlignment="1" applyProtection="1">
      <alignment vertical="center"/>
      <protection locked="0"/>
    </xf>
    <xf numFmtId="0" fontId="23" fillId="11" borderId="14" xfId="0" applyFont="1" applyFill="1" applyBorder="1" applyProtection="1"/>
    <xf numFmtId="0" fontId="24" fillId="11" borderId="14" xfId="0" applyFont="1" applyFill="1" applyBorder="1" applyAlignment="1" applyProtection="1">
      <alignment vertical="center"/>
    </xf>
    <xf numFmtId="0" fontId="25" fillId="11" borderId="15" xfId="0" applyFont="1" applyFill="1" applyBorder="1" applyAlignment="1" applyProtection="1">
      <alignment horizontal="right" vertical="center"/>
    </xf>
    <xf numFmtId="0" fontId="1" fillId="0" borderId="0" xfId="0" applyFont="1" applyProtection="1"/>
    <xf numFmtId="0" fontId="7" fillId="12" borderId="0" xfId="0" applyFont="1" applyFill="1" applyProtection="1">
      <protection locked="0"/>
    </xf>
    <xf numFmtId="0" fontId="7" fillId="13" borderId="0" xfId="0" applyFont="1" applyFill="1" applyProtection="1"/>
    <xf numFmtId="0" fontId="7" fillId="12" borderId="0" xfId="0" applyFont="1" applyFill="1" applyBorder="1" applyProtection="1">
      <protection locked="0"/>
    </xf>
    <xf numFmtId="0" fontId="26" fillId="11" borderId="16" xfId="0" applyFont="1" applyFill="1" applyBorder="1" applyProtection="1"/>
    <xf numFmtId="0" fontId="7" fillId="13" borderId="0" xfId="0" applyFont="1" applyFill="1" applyBorder="1" applyProtection="1"/>
    <xf numFmtId="0" fontId="1" fillId="14" borderId="17" xfId="0" applyFont="1" applyFill="1" applyBorder="1" applyProtection="1"/>
    <xf numFmtId="0" fontId="1" fillId="14" borderId="18" xfId="0" applyFont="1" applyFill="1" applyBorder="1" applyProtection="1"/>
    <xf numFmtId="0" fontId="1" fillId="14" borderId="19" xfId="0" applyFont="1" applyFill="1" applyBorder="1" applyProtection="1"/>
    <xf numFmtId="0" fontId="5" fillId="12" borderId="20" xfId="0" applyFont="1" applyFill="1" applyBorder="1" applyProtection="1">
      <protection locked="0"/>
    </xf>
    <xf numFmtId="0" fontId="7" fillId="13" borderId="2" xfId="0" applyFont="1" applyFill="1" applyBorder="1" applyAlignment="1" applyProtection="1">
      <alignment horizontal="left"/>
    </xf>
    <xf numFmtId="0" fontId="1" fillId="0" borderId="21" xfId="0" applyFont="1" applyBorder="1" applyProtection="1"/>
    <xf numFmtId="1" fontId="7" fillId="12" borderId="22" xfId="0" applyNumberFormat="1" applyFont="1" applyFill="1" applyBorder="1" applyAlignment="1" applyProtection="1">
      <alignment horizontal="center"/>
      <protection locked="0"/>
    </xf>
    <xf numFmtId="0" fontId="7" fillId="12" borderId="20" xfId="0" applyFont="1" applyFill="1" applyBorder="1" applyProtection="1">
      <protection locked="0"/>
    </xf>
    <xf numFmtId="172" fontId="7" fillId="12" borderId="22" xfId="0" quotePrefix="1" applyNumberFormat="1" applyFont="1" applyFill="1" applyBorder="1" applyAlignment="1" applyProtection="1">
      <alignment horizontal="center"/>
      <protection locked="0"/>
    </xf>
    <xf numFmtId="0" fontId="7" fillId="13" borderId="20" xfId="0" applyFont="1" applyFill="1" applyBorder="1" applyProtection="1">
      <protection locked="0"/>
    </xf>
    <xf numFmtId="0" fontId="5" fillId="13" borderId="23" xfId="0" applyFont="1" applyFill="1" applyBorder="1" applyProtection="1"/>
    <xf numFmtId="0" fontId="7" fillId="13" borderId="6" xfId="0" applyFont="1" applyFill="1" applyBorder="1" applyAlignment="1" applyProtection="1">
      <alignment horizontal="left"/>
    </xf>
    <xf numFmtId="0" fontId="1" fillId="0" borderId="24" xfId="0" applyFont="1" applyBorder="1" applyProtection="1"/>
    <xf numFmtId="0" fontId="7" fillId="12" borderId="25" xfId="0" applyFont="1" applyFill="1" applyBorder="1" applyAlignment="1" applyProtection="1">
      <alignment horizontal="center"/>
      <protection locked="0"/>
    </xf>
    <xf numFmtId="0" fontId="7" fillId="12" borderId="22" xfId="0" applyFont="1" applyFill="1" applyBorder="1" applyAlignment="1" applyProtection="1">
      <alignment horizontal="center"/>
      <protection locked="0"/>
    </xf>
    <xf numFmtId="0" fontId="7" fillId="12" borderId="22" xfId="0" quotePrefix="1" applyFont="1" applyFill="1" applyBorder="1" applyAlignment="1" applyProtection="1">
      <alignment horizontal="center"/>
      <protection locked="0"/>
    </xf>
    <xf numFmtId="0" fontId="7" fillId="13" borderId="22" xfId="0" applyFont="1" applyFill="1" applyBorder="1" applyAlignment="1" applyProtection="1">
      <alignment horizontal="center"/>
    </xf>
    <xf numFmtId="0" fontId="7" fillId="13" borderId="25" xfId="0" applyFont="1" applyFill="1" applyBorder="1" applyAlignment="1" applyProtection="1">
      <alignment horizontal="center"/>
    </xf>
    <xf numFmtId="0" fontId="26" fillId="11" borderId="17" xfId="0" applyFont="1" applyFill="1" applyBorder="1" applyAlignment="1" applyProtection="1">
      <alignment horizontal="center" vertical="center"/>
    </xf>
    <xf numFmtId="0" fontId="26" fillId="11" borderId="26" xfId="0" applyFont="1" applyFill="1" applyBorder="1" applyAlignment="1" applyProtection="1">
      <alignment horizontal="center" vertical="center"/>
    </xf>
    <xf numFmtId="0" fontId="1" fillId="0" borderId="0" xfId="0" applyFont="1" applyAlignment="1" applyProtection="1">
      <alignment vertical="center"/>
    </xf>
    <xf numFmtId="37" fontId="7" fillId="12" borderId="27" xfId="0" applyNumberFormat="1" applyFont="1" applyFill="1" applyBorder="1" applyAlignment="1" applyProtection="1">
      <alignment horizontal="center"/>
      <protection locked="0"/>
    </xf>
    <xf numFmtId="0" fontId="7" fillId="13" borderId="28" xfId="0" applyFont="1" applyFill="1" applyBorder="1" applyAlignment="1" applyProtection="1">
      <alignment horizontal="center"/>
    </xf>
    <xf numFmtId="37" fontId="7" fillId="12" borderId="2" xfId="0" applyNumberFormat="1" applyFont="1" applyFill="1" applyBorder="1" applyAlignment="1" applyProtection="1">
      <alignment horizontal="center"/>
      <protection locked="0"/>
    </xf>
    <xf numFmtId="0" fontId="7" fillId="13" borderId="29" xfId="0" applyFont="1" applyFill="1" applyBorder="1" applyAlignment="1" applyProtection="1">
      <alignment horizontal="center"/>
    </xf>
    <xf numFmtId="39" fontId="7" fillId="12" borderId="28" xfId="0" applyNumberFormat="1" applyFont="1" applyFill="1" applyBorder="1" applyAlignment="1" applyProtection="1">
      <alignment horizontal="center"/>
      <protection locked="0"/>
    </xf>
    <xf numFmtId="167" fontId="7" fillId="13" borderId="30" xfId="23" applyFont="1" applyFill="1" applyBorder="1" applyProtection="1"/>
    <xf numFmtId="39" fontId="7" fillId="12" borderId="29" xfId="0" applyNumberFormat="1" applyFont="1" applyFill="1" applyBorder="1" applyAlignment="1" applyProtection="1">
      <alignment horizontal="center"/>
      <protection locked="0"/>
    </xf>
    <xf numFmtId="167" fontId="7" fillId="13" borderId="31" xfId="23" applyFont="1" applyFill="1" applyBorder="1" applyProtection="1"/>
    <xf numFmtId="37" fontId="7" fillId="12" borderId="6" xfId="0" applyNumberFormat="1" applyFont="1" applyFill="1" applyBorder="1" applyAlignment="1" applyProtection="1">
      <alignment horizontal="center"/>
      <protection locked="0"/>
    </xf>
    <xf numFmtId="0" fontId="7" fillId="13" borderId="32" xfId="0" applyFont="1" applyFill="1" applyBorder="1" applyProtection="1"/>
    <xf numFmtId="39" fontId="7" fillId="13" borderId="31" xfId="0" applyNumberFormat="1" applyFont="1" applyFill="1" applyBorder="1" applyProtection="1"/>
    <xf numFmtId="0" fontId="5" fillId="13" borderId="27" xfId="0" applyFont="1" applyFill="1" applyBorder="1" applyProtection="1"/>
    <xf numFmtId="0" fontId="21" fillId="0" borderId="33" xfId="0" applyFont="1" applyBorder="1" applyAlignment="1">
      <alignment vertical="center"/>
    </xf>
    <xf numFmtId="0" fontId="20" fillId="14" borderId="34" xfId="0" applyFont="1" applyFill="1" applyBorder="1" applyAlignment="1">
      <alignment vertical="center"/>
    </xf>
    <xf numFmtId="39" fontId="7" fillId="12" borderId="32" xfId="0" applyNumberFormat="1" applyFont="1" applyFill="1" applyBorder="1" applyProtection="1">
      <protection locked="0"/>
    </xf>
    <xf numFmtId="39" fontId="7" fillId="13" borderId="35" xfId="0" applyNumberFormat="1" applyFont="1" applyFill="1" applyBorder="1" applyProtection="1"/>
    <xf numFmtId="0" fontId="7" fillId="13" borderId="2" xfId="0" applyFont="1" applyFill="1" applyBorder="1" applyProtection="1"/>
    <xf numFmtId="0" fontId="0" fillId="0" borderId="0" xfId="0" applyFont="1" applyBorder="1" applyAlignment="1">
      <alignment vertical="center"/>
    </xf>
    <xf numFmtId="0" fontId="0" fillId="0" borderId="36" xfId="0" applyFont="1" applyBorder="1" applyAlignment="1">
      <alignment vertical="center"/>
    </xf>
    <xf numFmtId="0" fontId="20" fillId="14" borderId="37" xfId="0" applyFont="1" applyFill="1" applyBorder="1" applyAlignment="1">
      <alignment vertical="center"/>
    </xf>
    <xf numFmtId="173" fontId="20" fillId="14" borderId="38" xfId="23" applyNumberFormat="1" applyFont="1" applyFill="1" applyBorder="1" applyAlignment="1">
      <alignment horizontal="center" vertical="center"/>
    </xf>
    <xf numFmtId="0" fontId="21" fillId="0" borderId="0" xfId="0" applyFont="1" applyBorder="1" applyAlignment="1">
      <alignment vertical="center"/>
    </xf>
    <xf numFmtId="0" fontId="20" fillId="14" borderId="36" xfId="0" applyFont="1" applyFill="1" applyBorder="1" applyAlignment="1">
      <alignment vertical="center"/>
    </xf>
    <xf numFmtId="0" fontId="0" fillId="0" borderId="15" xfId="0" applyFont="1" applyBorder="1" applyAlignment="1">
      <alignment vertical="center"/>
    </xf>
    <xf numFmtId="173" fontId="0" fillId="0" borderId="39" xfId="23" applyNumberFormat="1" applyFont="1" applyBorder="1" applyAlignment="1">
      <alignment horizontal="right" vertical="center"/>
    </xf>
    <xf numFmtId="0" fontId="0" fillId="0" borderId="36" xfId="0" applyBorder="1" applyAlignment="1">
      <alignment vertical="center"/>
    </xf>
    <xf numFmtId="0" fontId="20" fillId="14" borderId="15" xfId="0" applyFont="1" applyFill="1" applyBorder="1" applyAlignment="1">
      <alignment vertical="center"/>
    </xf>
    <xf numFmtId="173" fontId="20" fillId="14" borderId="39" xfId="23" applyNumberFormat="1" applyFont="1" applyFill="1" applyBorder="1" applyAlignment="1">
      <alignment horizontal="right" vertical="center"/>
    </xf>
    <xf numFmtId="0" fontId="1" fillId="0" borderId="2" xfId="0" applyFont="1" applyBorder="1" applyProtection="1"/>
    <xf numFmtId="173" fontId="0" fillId="0" borderId="39" xfId="23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left"/>
    </xf>
    <xf numFmtId="0" fontId="21" fillId="0" borderId="1" xfId="0" applyFont="1" applyBorder="1" applyAlignment="1"/>
    <xf numFmtId="0" fontId="20" fillId="14" borderId="40" xfId="0" applyFont="1" applyFill="1" applyBorder="1" applyAlignment="1"/>
    <xf numFmtId="0" fontId="7" fillId="12" borderId="27" xfId="0" applyFont="1" applyFill="1" applyBorder="1" applyProtection="1">
      <protection locked="0"/>
    </xf>
    <xf numFmtId="0" fontId="7" fillId="13" borderId="33" xfId="0" applyFont="1" applyFill="1" applyBorder="1" applyProtection="1"/>
    <xf numFmtId="0" fontId="27" fillId="13" borderId="33" xfId="0" applyFont="1" applyFill="1" applyBorder="1" applyProtection="1"/>
    <xf numFmtId="0" fontId="20" fillId="14" borderId="41" xfId="0" applyFont="1" applyFill="1" applyBorder="1" applyAlignment="1"/>
    <xf numFmtId="173" fontId="20" fillId="14" borderId="42" xfId="23" applyNumberFormat="1" applyFont="1" applyFill="1" applyBorder="1" applyAlignment="1">
      <alignment horizontal="center"/>
    </xf>
    <xf numFmtId="14" fontId="28" fillId="14" borderId="27" xfId="23" applyNumberFormat="1" applyFont="1" applyFill="1" applyBorder="1" applyAlignment="1" applyProtection="1">
      <alignment horizontal="left"/>
      <protection hidden="1"/>
    </xf>
    <xf numFmtId="0" fontId="23" fillId="11" borderId="33" xfId="0" applyFont="1" applyFill="1" applyBorder="1" applyAlignment="1" applyProtection="1">
      <alignment horizontal="centerContinuous"/>
    </xf>
    <xf numFmtId="0" fontId="7" fillId="13" borderId="43" xfId="0" applyFont="1" applyFill="1" applyBorder="1" applyProtection="1"/>
    <xf numFmtId="14" fontId="29" fillId="14" borderId="6" xfId="23" applyNumberFormat="1" applyFont="1" applyFill="1" applyBorder="1" applyAlignment="1" applyProtection="1">
      <alignment horizontal="left"/>
      <protection hidden="1"/>
    </xf>
    <xf numFmtId="0" fontId="23" fillId="14" borderId="1" xfId="0" applyFont="1" applyFill="1" applyBorder="1" applyProtection="1"/>
    <xf numFmtId="0" fontId="23" fillId="11" borderId="43" xfId="0" applyFont="1" applyFill="1" applyBorder="1" applyAlignment="1" applyProtection="1">
      <alignment horizontal="centerContinuous"/>
    </xf>
    <xf numFmtId="0" fontId="1" fillId="0" borderId="0" xfId="0" applyFont="1" applyBorder="1" applyProtection="1"/>
    <xf numFmtId="0" fontId="23" fillId="14" borderId="44" xfId="0" applyFont="1" applyFill="1" applyBorder="1" applyProtection="1"/>
    <xf numFmtId="0" fontId="5" fillId="13" borderId="2" xfId="0" applyFont="1" applyFill="1" applyBorder="1" applyProtection="1"/>
    <xf numFmtId="0" fontId="1" fillId="0" borderId="45" xfId="0" applyFont="1" applyBorder="1" applyProtection="1"/>
    <xf numFmtId="0" fontId="7" fillId="12" borderId="2" xfId="0" applyFont="1" applyFill="1" applyBorder="1" applyProtection="1">
      <protection locked="0"/>
    </xf>
    <xf numFmtId="0" fontId="30" fillId="0" borderId="45" xfId="0" applyFont="1" applyBorder="1" applyAlignment="1" applyProtection="1">
      <alignment horizontal="right"/>
    </xf>
    <xf numFmtId="0" fontId="9" fillId="2" borderId="6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1" fillId="0" borderId="0" xfId="8">
      <alignment vertical="center" wrapText="1"/>
    </xf>
    <xf numFmtId="0" fontId="32" fillId="15" borderId="47" xfId="25" applyFill="1" applyAlignment="1">
      <alignment horizontal="center" vertical="center"/>
    </xf>
    <xf numFmtId="0" fontId="7" fillId="0" borderId="48" xfId="4" applyFont="1" applyFill="1" applyBorder="1" applyAlignment="1">
      <alignment horizontal="center" vertical="center" wrapText="1"/>
    </xf>
    <xf numFmtId="168" fontId="7" fillId="0" borderId="48" xfId="4" applyNumberFormat="1" applyFont="1" applyFill="1" applyBorder="1" applyAlignment="1">
      <alignment horizontal="center" vertical="center" wrapText="1"/>
    </xf>
    <xf numFmtId="0" fontId="4" fillId="2" borderId="0" xfId="0" applyFont="1" applyFill="1" applyBorder="1"/>
    <xf numFmtId="166" fontId="5" fillId="0" borderId="49" xfId="0" applyNumberFormat="1" applyFont="1" applyFill="1" applyBorder="1" applyAlignment="1">
      <alignment horizontal="left"/>
    </xf>
    <xf numFmtId="167" fontId="5" fillId="0" borderId="49" xfId="0" applyNumberFormat="1" applyFont="1" applyFill="1" applyBorder="1" applyAlignment="1">
      <alignment horizontal="left"/>
    </xf>
    <xf numFmtId="166" fontId="6" fillId="0" borderId="49" xfId="3" applyFont="1" applyFill="1" applyBorder="1" applyAlignment="1"/>
    <xf numFmtId="166" fontId="5" fillId="0" borderId="8" xfId="0" applyNumberFormat="1" applyFont="1" applyFill="1" applyBorder="1" applyAlignment="1">
      <alignment horizontal="left"/>
    </xf>
    <xf numFmtId="167" fontId="5" fillId="0" borderId="8" xfId="0" applyNumberFormat="1" applyFont="1" applyFill="1" applyBorder="1" applyAlignment="1">
      <alignment horizontal="left"/>
    </xf>
    <xf numFmtId="166" fontId="6" fillId="0" borderId="8" xfId="3" applyFont="1" applyFill="1" applyBorder="1" applyAlignment="1"/>
    <xf numFmtId="0" fontId="32" fillId="0" borderId="47" xfId="25" applyAlignment="1">
      <alignment horizontal="center"/>
    </xf>
    <xf numFmtId="0" fontId="32" fillId="0" borderId="47" xfId="25" applyFill="1" applyAlignment="1">
      <alignment horizontal="center" vertical="center"/>
    </xf>
    <xf numFmtId="0" fontId="4" fillId="0" borderId="1" xfId="0" applyFont="1" applyFill="1" applyBorder="1"/>
    <xf numFmtId="166" fontId="5" fillId="0" borderId="2" xfId="0" applyNumberFormat="1" applyFont="1" applyFill="1" applyBorder="1" applyAlignment="1">
      <alignment horizontal="left"/>
    </xf>
    <xf numFmtId="166" fontId="6" fillId="0" borderId="0" xfId="3" applyFont="1" applyFill="1" applyBorder="1" applyAlignment="1"/>
    <xf numFmtId="167" fontId="5" fillId="0" borderId="2" xfId="0" applyNumberFormat="1" applyFont="1" applyFill="1" applyBorder="1" applyAlignment="1">
      <alignment horizontal="left"/>
    </xf>
    <xf numFmtId="0" fontId="31" fillId="0" borderId="46" xfId="24" applyFill="1" applyAlignment="1">
      <alignment horizontal="center"/>
    </xf>
    <xf numFmtId="0" fontId="10" fillId="4" borderId="15" xfId="0" applyFont="1" applyFill="1" applyBorder="1" applyAlignment="1">
      <alignment horizontal="right"/>
    </xf>
    <xf numFmtId="169" fontId="0" fillId="0" borderId="7" xfId="0" applyNumberFormat="1" applyBorder="1"/>
    <xf numFmtId="169" fontId="0" fillId="0" borderId="9" xfId="0" applyNumberFormat="1" applyBorder="1"/>
    <xf numFmtId="0" fontId="4" fillId="2" borderId="5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10" fillId="4" borderId="51" xfId="0" applyFont="1" applyFill="1" applyBorder="1" applyAlignment="1">
      <alignment horizontal="right"/>
    </xf>
    <xf numFmtId="0" fontId="12" fillId="5" borderId="52" xfId="0" applyFont="1" applyFill="1" applyBorder="1"/>
    <xf numFmtId="0" fontId="12" fillId="5" borderId="53" xfId="0" applyFont="1" applyFill="1" applyBorder="1"/>
    <xf numFmtId="0" fontId="13" fillId="0" borderId="48" xfId="5" applyNumberFormat="1" applyFont="1" applyBorder="1" applyAlignment="1">
      <alignment wrapText="1"/>
    </xf>
  </cellXfs>
  <cellStyles count="26">
    <cellStyle name="Comma" xfId="23" builtinId="3"/>
    <cellStyle name="Comma 2" xfId="21"/>
    <cellStyle name="Currency" xfId="3" builtinId="4"/>
    <cellStyle name="Currency [0] 2" xfId="22"/>
    <cellStyle name="Currency 2" xfId="16"/>
    <cellStyle name="Currency_EXCEL3-2" xfId="2"/>
    <cellStyle name="Date" xfId="12"/>
    <cellStyle name="Heading 1" xfId="24" builtinId="16"/>
    <cellStyle name="Heading 1 2" xfId="15"/>
    <cellStyle name="Heading 2" xfId="25" builtinId="17"/>
    <cellStyle name="Heading 2 2" xfId="17"/>
    <cellStyle name="Heading 3 2" xfId="18"/>
    <cellStyle name="Heading 4 2" xfId="20"/>
    <cellStyle name="Input 2" xfId="19"/>
    <cellStyle name="Inventory Date" xfId="7"/>
    <cellStyle name="Item table heading" xfId="10"/>
    <cellStyle name="Normal" xfId="0" builtinId="0"/>
    <cellStyle name="Normal 2" xfId="13"/>
    <cellStyle name="Normal_Customer Info" xfId="5"/>
    <cellStyle name="Normal_Sheet1" xfId="1"/>
    <cellStyle name="Normal_Sheet1_1" xfId="4"/>
    <cellStyle name="Phone" xfId="9"/>
    <cellStyle name="Seriel Number" xfId="11"/>
    <cellStyle name="Title 2" xfId="6"/>
    <cellStyle name="Title 3" xfId="14"/>
    <cellStyle name="z Hidden Text" xfId="8"/>
  </cellStyles>
  <dxfs count="6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indexed="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numFmt numFmtId="169" formatCode="_(&quot;$&quot;* #,##0_);_(&quot;$&quot;* \(#,##0\);_(&quot;$&quot;* &quot;-&quot;??_);_(@_)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&quot;$&quot;* #,##0_);_(&quot;$&quot;* \(#,##0\);_(&quot;$&quot;* &quot;-&quot;??_);_(@_)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&quot;$&quot;* #,##0_);_(&quot;$&quot;* \(#,##0\);_(&quot;$&quot;* &quot;-&quot;??_);_(@_)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&quot;$&quot;* #,##0_);_(&quot;$&quot;* \(#,##0\);_(&quot;$&quot;* &quot;-&quot;??_);_(@_)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&quot;$&quot;* #,##0_);_(&quot;$&quot;* \(#,##0\);_(&quot;$&quot;* &quot;-&quot;??_);_(@_)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indexed="9"/>
        <name val="Arial"/>
        <scheme val="none"/>
      </font>
      <fill>
        <patternFill patternType="solid">
          <fgColor indexed="64"/>
          <bgColor indexed="23"/>
        </patternFill>
      </fill>
      <alignment horizontal="right" vertical="bottom" textRotation="0" wrapText="0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fill>
        <patternFill patternType="none">
          <fgColor indexed="24"/>
          <bgColor indexed="65"/>
        </patternFill>
      </fill>
      <alignment horizontal="general" vertical="bottom" textRotation="0" wrapText="0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fill>
        <patternFill patternType="none">
          <fgColor indexed="24"/>
          <bgColor indexed="65"/>
        </patternFill>
      </fill>
      <alignment horizontal="general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fill>
        <patternFill patternType="none">
          <fgColor indexed="24"/>
          <bgColor indexed="65"/>
        </patternFill>
      </fill>
      <alignment horizontal="general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fill>
        <patternFill patternType="none">
          <fgColor indexed="24"/>
          <bgColor indexed="65"/>
        </patternFill>
      </fill>
      <alignment horizontal="general" vertical="bottom" textRotation="0" wrapText="0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_(* #,##0.00_);_(* \(#,##0.00\);_(* &quot;-&quot;??_);_(@_)"/>
      <fill>
        <patternFill patternType="none">
          <fgColor indexed="24"/>
          <bgColor indexed="65"/>
        </patternFill>
      </fill>
      <alignment horizontal="left" vertical="bottom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/>
        <top/>
        <bottom/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4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_(* #,##0.00_);_(* \(#,##0.00\);_(* &quot;-&quot;??_);_(@_)"/>
      <fill>
        <patternFill patternType="none">
          <fgColor indexed="64"/>
          <bgColor indexed="65"/>
        </patternFill>
      </fill>
      <alignment horizontal="left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6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\-mmm\-yy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bottom style="thin">
          <color indexed="22"/>
        </bottom>
      </border>
    </dxf>
    <dxf>
      <alignment horizontal="right" vertical="bottom" textRotation="0" wrapText="0" indent="0" relativeIndent="255" justifyLastLine="0" shrinkToFit="0" readingOrder="0"/>
    </dxf>
    <dxf>
      <alignment horizontal="right" vertical="bottom" textRotation="0" wrapText="0" indent="0" relativeIndent="255" justifyLastLine="0" shrinkToFit="0" readingOrder="0"/>
    </dxf>
    <dxf>
      <numFmt numFmtId="169" formatCode="_(&quot;$&quot;* #,##0_);_(&quot;$&quot;* \(#,##0\);_(&quot;$&quot;* &quot;-&quot;??_);_(@_)"/>
      <alignment horizontal="right" vertical="bottom" textRotation="0" wrapText="0" indent="0" relativeIndent="255" justifyLastLine="0" shrinkToFit="0" readingOrder="0"/>
    </dxf>
    <dxf>
      <alignment horizontal="right" vertical="bottom" textRotation="0" wrapText="0" indent="0" relativeIndent="255" justifyLastLine="0" shrinkToFit="0" readingOrder="0"/>
    </dxf>
    <dxf>
      <alignment horizontal="right" vertical="bottom" textRotation="0" wrapText="0" indent="0" relativeIndent="255" justifyLastLine="0" shrinkToFit="0" readingOrder="0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relativeIndent="255" justifyLastLine="0" shrinkToFit="0" readingOrder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TableStyleMedium2" defaultPivotStyle="PivotStyleLight16">
    <tableStyle name="Home Inventory" pivot="0" count="7">
      <tableStyleElement type="wholeTable" dxfId="61"/>
      <tableStyleElement type="headerRow" dxfId="60"/>
      <tableStyleElement type="totalRow" dxfId="59"/>
      <tableStyleElement type="lastColumn" dxfId="58"/>
      <tableStyleElement type="firstRowStripe" dxfId="57"/>
      <tableStyleElement type="firstColumnStripe" dxfId="56"/>
      <tableStyleElement type="firstTotalCell" dxfId="55"/>
    </tableStyle>
    <tableStyle name="Home Inventory Slicer" pivot="0" table="0" count="2">
      <tableStyleElement type="wholeTable" dxfId="54"/>
      <tableStyleElement type="headerRow" dxfId="53"/>
    </tableStyle>
  </tableStyle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bar"/>
        <c:grouping val="clustered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delete val="1"/>
          </c:dLbls>
          <c:cat>
            <c:strRef>
              <c:f>('Bar chart'!$B$9:$B$16,'Bar chart'!$B$19,'Bar chart'!$B$21)</c:f>
              <c:strCache>
                <c:ptCount val="10"/>
                <c:pt idx="0">
                  <c:v>Technical Support</c:v>
                </c:pt>
                <c:pt idx="1">
                  <c:v>Telephone</c:v>
                </c:pt>
                <c:pt idx="2">
                  <c:v>Copying</c:v>
                </c:pt>
                <c:pt idx="3">
                  <c:v>Overhead</c:v>
                </c:pt>
                <c:pt idx="4">
                  <c:v>Software</c:v>
                </c:pt>
                <c:pt idx="5">
                  <c:v>Maintenance</c:v>
                </c:pt>
                <c:pt idx="6">
                  <c:v>Supplies</c:v>
                </c:pt>
                <c:pt idx="7">
                  <c:v>Telemarketing</c:v>
                </c:pt>
                <c:pt idx="8">
                  <c:v>Rent</c:v>
                </c:pt>
                <c:pt idx="9">
                  <c:v>Advertising</c:v>
                </c:pt>
              </c:str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'Bar chart'!$B$2:$B$15</c15:sqref>
                  </c15:fullRef>
                </c:ext>
              </c:extLst>
            </c:strRef>
          </c:cat>
          <c:val>
            <c:numRef>
              <c:f>('Bar chart'!$C$9:$C$16,'Bar chart'!$C$19,'Bar chart'!$C$21)</c:f>
              <c:numCache>
                <c:formatCode>_("$"* #,##0.00_);_("$"* \(#,##0.00\);_("$"* "-"??_);_(@_)</c:formatCode>
                <c:ptCount val="10"/>
                <c:pt idx="0">
                  <c:v>800</c:v>
                </c:pt>
                <c:pt idx="1">
                  <c:v>900</c:v>
                </c:pt>
                <c:pt idx="2">
                  <c:v>4850</c:v>
                </c:pt>
                <c:pt idx="3">
                  <c:v>1250</c:v>
                </c:pt>
                <c:pt idx="4">
                  <c:v>2025</c:v>
                </c:pt>
                <c:pt idx="5">
                  <c:v>1350</c:v>
                </c:pt>
                <c:pt idx="6">
                  <c:v>3300</c:v>
                </c:pt>
                <c:pt idx="7">
                  <c:v>3825</c:v>
                </c:pt>
                <c:pt idx="8">
                  <c:v>8000</c:v>
                </c:pt>
                <c:pt idx="9">
                  <c:v>12250</c:v>
                </c:pt>
              </c:numCache>
              <c:extLst xmlns:c16r2="http://schemas.microsoft.com/office/drawing/2015/06/chart">
                <c:ext xmlns:c15="http://schemas.microsoft.com/office/drawing/2012/chart" uri="{02D57815-91ED-43cb-92C2-25804820EDAC}">
                  <c15:fullRef>
                    <c15:sqref>'Bar chart'!$C$2:$C$15</c15:sqref>
                  </c15:fullRef>
                </c:ext>
              </c:extLst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AA2-4C9C-836E-79BCE1E89C7A}"/>
            </c:ext>
          </c:extLst>
        </c:ser>
        <c:dLbls>
          <c:showVal val="1"/>
        </c:dLbls>
        <c:gapWidth val="115"/>
        <c:overlap val="-20"/>
        <c:axId val="85426176"/>
        <c:axId val="85427712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'Bar chart'!$B$2:$B$15</c15:sqref>
                        </c15:fullRef>
                        <c15:formulaRef>
                          <c15:sqref>('Bar chart'!$B$2:$B$9,'Bar chart'!$B$12,'Bar chart'!$B$14)</c15:sqref>
                        </c15:formulaRef>
                      </c:ext>
                    </c:extLst>
                    <c:strCache>
                      <c:ptCount val="10"/>
                      <c:pt idx="0">
                        <c:v> Technical Support </c:v>
                      </c:pt>
                      <c:pt idx="1">
                        <c:v> Telephone </c:v>
                      </c:pt>
                      <c:pt idx="2">
                        <c:v> Copying </c:v>
                      </c:pt>
                      <c:pt idx="3">
                        <c:v> Overhead </c:v>
                      </c:pt>
                      <c:pt idx="4">
                        <c:v> Software </c:v>
                      </c:pt>
                      <c:pt idx="5">
                        <c:v> Maintenance </c:v>
                      </c:pt>
                      <c:pt idx="6">
                        <c:v> Supplies </c:v>
                      </c:pt>
                      <c:pt idx="7">
                        <c:v> Telemarketing </c:v>
                      </c:pt>
                      <c:pt idx="8">
                        <c:v> Rent </c:v>
                      </c:pt>
                      <c:pt idx="9">
                        <c:v> Advertising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'Bar chart'!$D$2:$D$15</c15:sqref>
                        </c15:fullRef>
                        <c15:formulaRef>
                          <c15:sqref>('Bar chart'!$D$2:$D$9,'Bar chart'!$D$12,'Bar chart'!$D$14)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0"/>
                      <c:pt idx="0">
                        <c:v>650</c:v>
                      </c:pt>
                      <c:pt idx="1">
                        <c:v>850</c:v>
                      </c:pt>
                      <c:pt idx="2">
                        <c:v>3200</c:v>
                      </c:pt>
                      <c:pt idx="3">
                        <c:v>1250</c:v>
                      </c:pt>
                      <c:pt idx="4">
                        <c:v>2200</c:v>
                      </c:pt>
                      <c:pt idx="5">
                        <c:v>1500</c:v>
                      </c:pt>
                      <c:pt idx="6">
                        <c:v>3500</c:v>
                      </c:pt>
                      <c:pt idx="7">
                        <c:v>3725</c:v>
                      </c:pt>
                      <c:pt idx="8">
                        <c:v>8000</c:v>
                      </c:pt>
                      <c:pt idx="9">
                        <c:v>12250</c:v>
                      </c:pt>
                    </c:numCache>
                  </c:numRef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1-0AA2-4C9C-836E-79BCE1E89C7A}"/>
                  </c:ext>
                </c:extLst>
              </c15:ser>
            </c15:filteredBarSeries>
          </c:ext>
        </c:extLst>
      </c:barChart>
      <c:catAx>
        <c:axId val="85426176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27712"/>
        <c:crosses val="autoZero"/>
        <c:auto val="1"/>
        <c:lblAlgn val="ctr"/>
        <c:lblOffset val="100"/>
      </c:catAx>
      <c:valAx>
        <c:axId val="8542771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2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33131</xdr:colOff>
      <xdr:row>1</xdr:row>
      <xdr:rowOff>16565</xdr:rowOff>
    </xdr:from>
    <xdr:ext cx="9629752" cy="530658"/>
    <xdr:sp macro="" textlink="">
      <xdr:nvSpPr>
        <xdr:cNvPr id="2" name="TextBox 1"/>
        <xdr:cNvSpPr txBox="1"/>
      </xdr:nvSpPr>
      <xdr:spPr>
        <a:xfrm>
          <a:off x="33131" y="198782"/>
          <a:ext cx="9629752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1 :</a:t>
          </a:r>
        </a:p>
        <a:p>
          <a:r>
            <a:rPr lang="en-US" sz="1400" b="1"/>
            <a:t>On the "Employee details" worksheet convert cells A4:H11 to a table with headers.Apply the Green Table Style  Light 14 style ?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295274</xdr:colOff>
      <xdr:row>24</xdr:row>
      <xdr:rowOff>19049</xdr:rowOff>
    </xdr:from>
    <xdr:to>
      <xdr:col>5</xdr:col>
      <xdr:colOff>561974</xdr:colOff>
      <xdr:row>38</xdr:row>
      <xdr:rowOff>71436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83A09D9A-AA08-4AEE-B665-A17516443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25400</xdr:colOff>
      <xdr:row>1</xdr:row>
      <xdr:rowOff>19050</xdr:rowOff>
    </xdr:from>
    <xdr:ext cx="11534953" cy="530658"/>
    <xdr:sp macro="" textlink="">
      <xdr:nvSpPr>
        <xdr:cNvPr id="4" name="TextBox 3"/>
        <xdr:cNvSpPr txBox="1"/>
      </xdr:nvSpPr>
      <xdr:spPr>
        <a:xfrm>
          <a:off x="25400" y="203200"/>
          <a:ext cx="11534953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2 :</a:t>
          </a:r>
        </a:p>
        <a:p>
          <a:r>
            <a:rPr lang="en-US" sz="1400" b="1"/>
            <a:t>On the "Bar chart" chart sheet ,insert a chart title above the chart at the top of the plot area.and the  values as data labels to the right of each data bar ?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31750</xdr:colOff>
      <xdr:row>1</xdr:row>
      <xdr:rowOff>19050</xdr:rowOff>
    </xdr:from>
    <xdr:ext cx="12482456" cy="530658"/>
    <xdr:sp macro="" textlink="">
      <xdr:nvSpPr>
        <xdr:cNvPr id="2" name="TextBox 1"/>
        <xdr:cNvSpPr txBox="1"/>
      </xdr:nvSpPr>
      <xdr:spPr>
        <a:xfrm>
          <a:off x="31750" y="203200"/>
          <a:ext cx="12482456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3 :</a:t>
          </a:r>
        </a:p>
        <a:p>
          <a:r>
            <a:rPr lang="en-US" sz="1400" b="1"/>
            <a:t>On the "Division Sales" workshhet ,create a clustered column chart that displays the "Division" names and the "March" data,place the chart to the right of the table?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1</xdr:row>
      <xdr:rowOff>0</xdr:rowOff>
    </xdr:from>
    <xdr:ext cx="10027810" cy="530658"/>
    <xdr:sp macro="" textlink="">
      <xdr:nvSpPr>
        <xdr:cNvPr id="2" name="TextBox 1"/>
        <xdr:cNvSpPr txBox="1"/>
      </xdr:nvSpPr>
      <xdr:spPr>
        <a:xfrm>
          <a:off x="50800" y="184150"/>
          <a:ext cx="10027810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</a:t>
          </a:r>
          <a:r>
            <a:rPr lang="en-US" sz="1400" b="1" baseline="0"/>
            <a:t> 4:</a:t>
          </a:r>
        </a:p>
        <a:p>
          <a:r>
            <a:rPr lang="en-US" sz="1400" b="1"/>
            <a:t>On the "Cost" worksheet, perform a multi-level sort.Sort the table data by "Month"(A to Z) and then by "Cost" (Largest to Smalest)?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44450</xdr:colOff>
      <xdr:row>1</xdr:row>
      <xdr:rowOff>31750</xdr:rowOff>
    </xdr:from>
    <xdr:ext cx="10593349" cy="530658"/>
    <xdr:sp macro="" textlink="">
      <xdr:nvSpPr>
        <xdr:cNvPr id="2" name="TextBox 1"/>
        <xdr:cNvSpPr txBox="1"/>
      </xdr:nvSpPr>
      <xdr:spPr>
        <a:xfrm>
          <a:off x="44450" y="215900"/>
          <a:ext cx="10593349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5 :</a:t>
          </a:r>
        </a:p>
        <a:p>
          <a:r>
            <a:rPr lang="en-US" sz="1400" b="1"/>
            <a:t>On the "Week" worksheet ,add a Total Row to the table .Configure the Total Row to display the total sales of each week and the total sales</a:t>
          </a:r>
          <a:r>
            <a:rPr lang="en-US" sz="1400" b="1" baseline="0"/>
            <a:t> ?</a:t>
          </a:r>
          <a:endParaRPr lang="en-US" sz="1400" b="1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</xdr:row>
      <xdr:rowOff>0</xdr:rowOff>
    </xdr:from>
    <xdr:ext cx="9943171" cy="530658"/>
    <xdr:sp macro="" textlink="">
      <xdr:nvSpPr>
        <xdr:cNvPr id="2" name="TextBox 1"/>
        <xdr:cNvSpPr txBox="1"/>
      </xdr:nvSpPr>
      <xdr:spPr>
        <a:xfrm>
          <a:off x="38100" y="184150"/>
          <a:ext cx="9943171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6 :</a:t>
          </a:r>
        </a:p>
        <a:p>
          <a:r>
            <a:rPr lang="en-US" sz="1400" b="1"/>
            <a:t>On the "Customer" worksheet , change the horizontal alighnment of the "Customer ID" names to Left(indent). Set the indent to 1 ?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177800</xdr:colOff>
      <xdr:row>2</xdr:row>
      <xdr:rowOff>95250</xdr:rowOff>
    </xdr:from>
    <xdr:ext cx="8039124" cy="530658"/>
    <xdr:sp macro="" textlink="">
      <xdr:nvSpPr>
        <xdr:cNvPr id="2" name="TextBox 1"/>
        <xdr:cNvSpPr txBox="1"/>
      </xdr:nvSpPr>
      <xdr:spPr>
        <a:xfrm>
          <a:off x="177800" y="412750"/>
          <a:ext cx="8039124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7 :</a:t>
          </a:r>
        </a:p>
        <a:p>
          <a:r>
            <a:rPr lang="en-US" sz="1400" b="1"/>
            <a:t>On the "Quote" worksheet  move the cells E21:F46 up to correct the alignment by deleting cells E20:F20 ?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me%20inventory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me Contents Inventory List"/>
      <sheetName val="Room Lookup"/>
      <sheetName val="Home inventory1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id="1" name="Table1" displayName="Table1" ref="A9:H16" totalsRowShown="0" headerRowDxfId="34" dataDxfId="35" headerRowBorderDxfId="44" tableBorderDxfId="45" headerRowCellStyle="Normal_Sheet1_1" dataCellStyle="Normal_Sheet1_1">
  <autoFilter ref="A9:H16"/>
  <tableColumns count="8">
    <tableColumn id="1" name="Emp ID" dataDxfId="43" dataCellStyle="Normal_Sheet1_1"/>
    <tableColumn id="2" name="Last Name" dataDxfId="42" dataCellStyle="Normal_Sheet1_1"/>
    <tableColumn id="3" name="First Name" dataDxfId="41" dataCellStyle="Normal_Sheet1_1"/>
    <tableColumn id="4" name="Dept" dataDxfId="40" dataCellStyle="Normal_Sheet1_1"/>
    <tableColumn id="5" name="E-mail" dataDxfId="39" dataCellStyle="Normal_Sheet1_1"/>
    <tableColumn id="6" name="Phone Ext" dataDxfId="38" dataCellStyle="Normal_Sheet1_1"/>
    <tableColumn id="7" name="Location" dataDxfId="37" dataCellStyle="Normal_Sheet1_1"/>
    <tableColumn id="8" name="Hire Date" dataDxfId="36" dataCellStyle="Normal_Sheet1_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8:E22" totalsRowShown="0" headerRowDxfId="26" dataDxfId="27" tableBorderDxfId="33" dataCellStyle="Currency">
  <autoFilter ref="A8:E22"/>
  <tableColumns count="5">
    <tableColumn id="1" name="Division" dataDxfId="32"/>
    <tableColumn id="2" name="Category" dataDxfId="31"/>
    <tableColumn id="3" name="Jan" dataDxfId="30" dataCellStyle="Currency"/>
    <tableColumn id="4" name="Feb" dataDxfId="29" dataCellStyle="Currency"/>
    <tableColumn id="5" name="Mar" dataDxfId="28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0:D20" totalsRowShown="0" headerRowDxfId="20" dataDxfId="19" headerRowBorderDxfId="25" dataCellStyle="Currency">
  <autoFilter ref="A10:D20"/>
  <tableColumns count="4">
    <tableColumn id="1" name="Division" dataDxfId="24"/>
    <tableColumn id="2" name="Jan" dataDxfId="23" dataCellStyle="Currency"/>
    <tableColumn id="3" name="Feb" dataDxfId="22" dataCellStyle="Currency"/>
    <tableColumn id="4" name="Mar" dataDxfId="21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9:E24" totalsRowShown="0" headerRowDxfId="52" dataDxfId="50" headerRowBorderDxfId="51">
  <autoFilter ref="A9:E24"/>
  <tableColumns count="5">
    <tableColumn id="1" name="Month"/>
    <tableColumn id="2" name="Year" dataDxfId="49"/>
    <tableColumn id="3" name="Cost" dataDxfId="48" dataCellStyle="Currency"/>
    <tableColumn id="4" name="Items" dataDxfId="47"/>
    <tableColumn id="5" name="Buyer" dataDxfId="46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0:F15" totalsRowShown="0" headerRowDxfId="10" dataDxfId="11" tableBorderDxfId="18" dataCellStyle="Currency">
  <autoFilter ref="A10:F15"/>
  <tableColumns count="6">
    <tableColumn id="1" name="Sales Person" dataDxfId="17"/>
    <tableColumn id="2" name="Week 1" dataDxfId="16" dataCellStyle="Currency"/>
    <tableColumn id="3" name="Week 2" dataDxfId="15" dataCellStyle="Currency"/>
    <tableColumn id="4" name="Week 3" dataDxfId="14" dataCellStyle="Currency"/>
    <tableColumn id="5" name="Week 4" dataDxfId="13" dataCellStyle="Currency"/>
    <tableColumn id="6" name="Totals" dataDxfId="12">
      <calculatedColumnFormula>SUM(B11:E11)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9:E25" totalsRowShown="0" headerRowDxfId="0" dataDxfId="1" headerRowBorderDxfId="8" tableBorderDxfId="9" totalsRowBorderDxfId="7" dataCellStyle="Normal_Customer Info">
  <autoFilter ref="A9:E25"/>
  <tableColumns count="5">
    <tableColumn id="1" name="Customer ID" dataDxfId="6" dataCellStyle="Normal_Customer Info"/>
    <tableColumn id="2" name="Company Name" dataDxfId="5" dataCellStyle="Normal_Customer Info"/>
    <tableColumn id="3" name="Contact Name" dataDxfId="4" dataCellStyle="Normal_Customer Info"/>
    <tableColumn id="4" name="Contact Title" dataDxfId="3" dataCellStyle="Normal_Customer Info"/>
    <tableColumn id="5" name="Address" dataDxfId="2" dataCellStyle="Normal_Customer Inf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H27"/>
  <sheetViews>
    <sheetView zoomScale="115" zoomScaleNormal="115" workbookViewId="0">
      <selection activeCell="D18" sqref="D18"/>
    </sheetView>
  </sheetViews>
  <sheetFormatPr defaultRowHeight="14.5"/>
  <cols>
    <col min="1" max="5" width="14.7265625" customWidth="1"/>
    <col min="6" max="6" width="12.08984375" customWidth="1"/>
    <col min="7" max="7" width="10.6328125" customWidth="1"/>
    <col min="8" max="8" width="11.1796875" customWidth="1"/>
  </cols>
  <sheetData>
    <row r="7" spans="1:8" ht="17.5" thickBot="1">
      <c r="A7" s="103" t="s">
        <v>56</v>
      </c>
      <c r="B7" s="103"/>
      <c r="C7" s="103"/>
      <c r="D7" s="103"/>
      <c r="E7" s="103"/>
      <c r="F7" s="103"/>
      <c r="G7" s="103"/>
      <c r="H7" s="103"/>
    </row>
    <row r="8" spans="1:8" ht="15" thickTop="1"/>
    <row r="9" spans="1:8" ht="15" thickBot="1">
      <c r="A9" s="5" t="s">
        <v>20</v>
      </c>
      <c r="B9" s="5" t="s">
        <v>21</v>
      </c>
      <c r="C9" s="5" t="s">
        <v>22</v>
      </c>
      <c r="D9" s="5" t="s">
        <v>23</v>
      </c>
      <c r="E9" s="5" t="s">
        <v>24</v>
      </c>
      <c r="F9" s="5" t="s">
        <v>25</v>
      </c>
      <c r="G9" s="5" t="s">
        <v>26</v>
      </c>
      <c r="H9" s="5" t="s">
        <v>27</v>
      </c>
    </row>
    <row r="10" spans="1:8">
      <c r="A10" s="6">
        <v>1814</v>
      </c>
      <c r="B10" s="6" t="s">
        <v>28</v>
      </c>
      <c r="C10" s="6" t="s">
        <v>29</v>
      </c>
      <c r="D10" s="6" t="s">
        <v>30</v>
      </c>
      <c r="E10" s="6" t="s">
        <v>31</v>
      </c>
      <c r="F10" s="6">
        <v>103</v>
      </c>
      <c r="G10" s="6" t="s">
        <v>32</v>
      </c>
      <c r="H10" s="7">
        <v>32571</v>
      </c>
    </row>
    <row r="11" spans="1:8">
      <c r="A11" s="8">
        <v>1721</v>
      </c>
      <c r="B11" s="8" t="s">
        <v>33</v>
      </c>
      <c r="C11" s="8" t="s">
        <v>34</v>
      </c>
      <c r="D11" s="8" t="s">
        <v>30</v>
      </c>
      <c r="E11" s="8" t="s">
        <v>35</v>
      </c>
      <c r="F11" s="8">
        <v>102</v>
      </c>
      <c r="G11" s="8" t="s">
        <v>32</v>
      </c>
      <c r="H11" s="9">
        <v>33091</v>
      </c>
    </row>
    <row r="12" spans="1:8">
      <c r="A12" s="8">
        <v>1999</v>
      </c>
      <c r="B12" s="8" t="s">
        <v>36</v>
      </c>
      <c r="C12" s="8" t="s">
        <v>37</v>
      </c>
      <c r="D12" s="8" t="s">
        <v>30</v>
      </c>
      <c r="E12" s="8" t="s">
        <v>38</v>
      </c>
      <c r="F12" s="8">
        <v>428</v>
      </c>
      <c r="G12" s="8" t="s">
        <v>32</v>
      </c>
      <c r="H12" s="9">
        <v>35981</v>
      </c>
    </row>
    <row r="13" spans="1:8">
      <c r="A13" s="8">
        <v>1196</v>
      </c>
      <c r="B13" s="8" t="s">
        <v>39</v>
      </c>
      <c r="C13" s="8" t="s">
        <v>40</v>
      </c>
      <c r="D13" s="8" t="s">
        <v>30</v>
      </c>
      <c r="E13" s="8" t="s">
        <v>41</v>
      </c>
      <c r="F13" s="8">
        <v>289</v>
      </c>
      <c r="G13" s="8" t="s">
        <v>32</v>
      </c>
      <c r="H13" s="9">
        <v>35886</v>
      </c>
    </row>
    <row r="14" spans="1:8">
      <c r="A14" s="8">
        <v>1906</v>
      </c>
      <c r="B14" s="8" t="s">
        <v>42</v>
      </c>
      <c r="C14" s="8" t="s">
        <v>43</v>
      </c>
      <c r="D14" s="8" t="s">
        <v>44</v>
      </c>
      <c r="E14" s="8" t="s">
        <v>45</v>
      </c>
      <c r="F14" s="8">
        <v>155</v>
      </c>
      <c r="G14" s="8" t="s">
        <v>32</v>
      </c>
      <c r="H14" s="9">
        <v>32779</v>
      </c>
    </row>
    <row r="15" spans="1:8">
      <c r="A15" s="8">
        <v>1792</v>
      </c>
      <c r="B15" s="8" t="s">
        <v>46</v>
      </c>
      <c r="C15" s="8" t="s">
        <v>47</v>
      </c>
      <c r="D15" s="8" t="s">
        <v>48</v>
      </c>
      <c r="E15" s="8" t="s">
        <v>49</v>
      </c>
      <c r="F15" s="8">
        <v>111</v>
      </c>
      <c r="G15" s="8" t="s">
        <v>50</v>
      </c>
      <c r="H15" s="9">
        <v>33231</v>
      </c>
    </row>
    <row r="16" spans="1:8">
      <c r="A16" s="104">
        <v>1516</v>
      </c>
      <c r="B16" s="104" t="s">
        <v>51</v>
      </c>
      <c r="C16" s="104" t="s">
        <v>52</v>
      </c>
      <c r="D16" s="104" t="s">
        <v>53</v>
      </c>
      <c r="E16" s="104" t="s">
        <v>54</v>
      </c>
      <c r="F16" s="104">
        <v>105</v>
      </c>
      <c r="G16" s="104" t="s">
        <v>55</v>
      </c>
      <c r="H16" s="105">
        <v>31112</v>
      </c>
    </row>
    <row r="17" spans="1:8">
      <c r="A17" s="8"/>
      <c r="B17" s="8"/>
      <c r="C17" s="8"/>
      <c r="D17" s="8"/>
      <c r="E17" s="8"/>
      <c r="F17" s="8"/>
      <c r="G17" s="8"/>
      <c r="H17" s="9"/>
    </row>
    <row r="18" spans="1:8">
      <c r="A18" s="8"/>
      <c r="B18" s="8"/>
      <c r="C18" s="8"/>
      <c r="D18" s="8"/>
      <c r="E18" s="8"/>
      <c r="F18" s="8"/>
      <c r="G18" s="8"/>
      <c r="H18" s="9"/>
    </row>
    <row r="19" spans="1:8" ht="15" customHeight="1">
      <c r="A19" s="8"/>
      <c r="B19" s="8"/>
    </row>
    <row r="20" spans="1:8" ht="15" customHeight="1">
      <c r="A20" s="8"/>
      <c r="B20" s="8"/>
    </row>
    <row r="21" spans="1:8" ht="15" customHeight="1">
      <c r="A21" s="8"/>
      <c r="B21" s="8"/>
    </row>
    <row r="22" spans="1:8" ht="14.5" customHeight="1">
      <c r="A22" s="8"/>
      <c r="B22" s="8"/>
    </row>
    <row r="23" spans="1:8" ht="14.5" customHeight="1">
      <c r="A23" s="4"/>
      <c r="B23" s="4"/>
    </row>
    <row r="24" spans="1:8">
      <c r="A24" s="4"/>
    </row>
    <row r="25" spans="1:8">
      <c r="A25" s="4"/>
    </row>
    <row r="26" spans="1:8">
      <c r="A26" s="4"/>
    </row>
    <row r="27" spans="1:8">
      <c r="A27" s="4"/>
      <c r="B27" s="1"/>
      <c r="C27" s="1"/>
      <c r="D27" s="2"/>
      <c r="E27" s="3"/>
    </row>
  </sheetData>
  <mergeCells count="1">
    <mergeCell ref="A7:H7"/>
  </mergeCells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6:E27"/>
  <sheetViews>
    <sheetView workbookViewId="0">
      <selection activeCell="H9" sqref="H9"/>
    </sheetView>
  </sheetViews>
  <sheetFormatPr defaultRowHeight="14.5"/>
  <cols>
    <col min="1" max="5" width="14.7265625" customWidth="1"/>
  </cols>
  <sheetData>
    <row r="6" spans="1:5" ht="17.5" thickBot="1">
      <c r="A6" s="113" t="s">
        <v>215</v>
      </c>
      <c r="B6" s="113"/>
      <c r="C6" s="113"/>
      <c r="D6" s="113"/>
      <c r="E6" s="113"/>
    </row>
    <row r="7" spans="1:5" ht="15" thickTop="1"/>
    <row r="8" spans="1:5">
      <c r="A8" s="106" t="s">
        <v>0</v>
      </c>
      <c r="B8" s="106" t="s">
        <v>1</v>
      </c>
      <c r="C8" s="106" t="s">
        <v>2</v>
      </c>
      <c r="D8" s="106" t="s">
        <v>3</v>
      </c>
      <c r="E8" s="106" t="s">
        <v>4</v>
      </c>
    </row>
    <row r="9" spans="1:5">
      <c r="A9" s="107" t="s">
        <v>5</v>
      </c>
      <c r="B9" s="108" t="s">
        <v>6</v>
      </c>
      <c r="C9" s="109">
        <v>800</v>
      </c>
      <c r="D9" s="109">
        <v>650</v>
      </c>
      <c r="E9" s="109">
        <v>700</v>
      </c>
    </row>
    <row r="10" spans="1:5">
      <c r="A10" s="107" t="s">
        <v>5</v>
      </c>
      <c r="B10" s="108" t="s">
        <v>7</v>
      </c>
      <c r="C10" s="109">
        <v>900</v>
      </c>
      <c r="D10" s="109">
        <v>850</v>
      </c>
      <c r="E10" s="109">
        <v>850</v>
      </c>
    </row>
    <row r="11" spans="1:5">
      <c r="A11" s="107" t="s">
        <v>5</v>
      </c>
      <c r="B11" s="108" t="s">
        <v>8</v>
      </c>
      <c r="C11" s="109">
        <v>4850</v>
      </c>
      <c r="D11" s="109">
        <v>3200</v>
      </c>
      <c r="E11" s="109">
        <v>1155</v>
      </c>
    </row>
    <row r="12" spans="1:5">
      <c r="A12" s="107" t="s">
        <v>5</v>
      </c>
      <c r="B12" s="108" t="s">
        <v>9</v>
      </c>
      <c r="C12" s="109">
        <v>1250</v>
      </c>
      <c r="D12" s="109">
        <v>1250</v>
      </c>
      <c r="E12" s="109">
        <v>1250</v>
      </c>
    </row>
    <row r="13" spans="1:5">
      <c r="A13" s="107" t="s">
        <v>5</v>
      </c>
      <c r="B13" s="108" t="s">
        <v>10</v>
      </c>
      <c r="C13" s="109">
        <v>2025</v>
      </c>
      <c r="D13" s="109">
        <v>2200</v>
      </c>
      <c r="E13" s="109">
        <v>1650</v>
      </c>
    </row>
    <row r="14" spans="1:5">
      <c r="A14" s="107" t="s">
        <v>5</v>
      </c>
      <c r="B14" s="108" t="s">
        <v>11</v>
      </c>
      <c r="C14" s="109">
        <v>1350</v>
      </c>
      <c r="D14" s="109">
        <v>1500</v>
      </c>
      <c r="E14" s="109">
        <v>1700</v>
      </c>
    </row>
    <row r="15" spans="1:5">
      <c r="A15" s="107" t="s">
        <v>5</v>
      </c>
      <c r="B15" s="108" t="s">
        <v>12</v>
      </c>
      <c r="C15" s="109">
        <v>3300</v>
      </c>
      <c r="D15" s="109">
        <v>3500</v>
      </c>
      <c r="E15" s="109">
        <v>3700</v>
      </c>
    </row>
    <row r="16" spans="1:5">
      <c r="A16" s="107" t="s">
        <v>5</v>
      </c>
      <c r="B16" s="108" t="s">
        <v>13</v>
      </c>
      <c r="C16" s="109">
        <v>3825</v>
      </c>
      <c r="D16" s="109">
        <v>3725</v>
      </c>
      <c r="E16" s="109">
        <v>3750</v>
      </c>
    </row>
    <row r="17" spans="1:5">
      <c r="A17" s="107" t="s">
        <v>5</v>
      </c>
      <c r="B17" s="108" t="s">
        <v>14</v>
      </c>
      <c r="C17" s="109">
        <v>8900</v>
      </c>
      <c r="D17" s="109">
        <v>10315</v>
      </c>
      <c r="E17" s="109">
        <v>5250</v>
      </c>
    </row>
    <row r="18" spans="1:5">
      <c r="A18" s="107" t="s">
        <v>5</v>
      </c>
      <c r="B18" s="108" t="s">
        <v>15</v>
      </c>
      <c r="C18" s="109">
        <v>6250</v>
      </c>
      <c r="D18" s="109">
        <v>6000</v>
      </c>
      <c r="E18" s="109">
        <v>6500</v>
      </c>
    </row>
    <row r="19" spans="1:5">
      <c r="A19" s="107" t="s">
        <v>5</v>
      </c>
      <c r="B19" s="108" t="s">
        <v>16</v>
      </c>
      <c r="C19" s="109">
        <v>8000</v>
      </c>
      <c r="D19" s="109">
        <v>8000</v>
      </c>
      <c r="E19" s="109">
        <v>8000</v>
      </c>
    </row>
    <row r="20" spans="1:5">
      <c r="A20" s="107" t="s">
        <v>5</v>
      </c>
      <c r="B20" s="108" t="s">
        <v>17</v>
      </c>
      <c r="C20" s="109">
        <v>11500</v>
      </c>
      <c r="D20" s="109">
        <v>12500</v>
      </c>
      <c r="E20" s="109">
        <v>12500</v>
      </c>
    </row>
    <row r="21" spans="1:5">
      <c r="A21" s="107" t="s">
        <v>5</v>
      </c>
      <c r="B21" s="108" t="s">
        <v>18</v>
      </c>
      <c r="C21" s="109">
        <v>12250</v>
      </c>
      <c r="D21" s="109">
        <v>12250</v>
      </c>
      <c r="E21" s="109">
        <v>12750</v>
      </c>
    </row>
    <row r="22" spans="1:5" ht="14.5" customHeight="1">
      <c r="A22" s="110" t="s">
        <v>5</v>
      </c>
      <c r="B22" s="111" t="s">
        <v>19</v>
      </c>
      <c r="C22" s="112">
        <v>25000</v>
      </c>
      <c r="D22" s="112">
        <v>24000</v>
      </c>
      <c r="E22" s="112">
        <v>26390</v>
      </c>
    </row>
    <row r="23" spans="1:5" ht="14.5" customHeight="1"/>
    <row r="24" spans="1:5" ht="14.5" customHeight="1"/>
    <row r="25" spans="1:5" ht="14.5" customHeight="1"/>
    <row r="26" spans="1:5" ht="14.5" customHeight="1"/>
    <row r="27" spans="1:5" ht="14.5" customHeight="1"/>
  </sheetData>
  <mergeCells count="1">
    <mergeCell ref="A6:E6"/>
  </mergeCells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8:D28"/>
  <sheetViews>
    <sheetView workbookViewId="0">
      <selection activeCell="H14" sqref="H14"/>
    </sheetView>
  </sheetViews>
  <sheetFormatPr defaultRowHeight="14.5"/>
  <cols>
    <col min="1" max="4" width="14.7265625" customWidth="1"/>
  </cols>
  <sheetData>
    <row r="8" spans="1:4" ht="17.5" thickBot="1">
      <c r="A8" s="114" t="s">
        <v>60</v>
      </c>
      <c r="B8" s="114"/>
      <c r="C8" s="114"/>
      <c r="D8" s="114"/>
    </row>
    <row r="9" spans="1:4" ht="15" thickTop="1"/>
    <row r="10" spans="1:4" ht="15" thickBot="1">
      <c r="A10" s="102" t="s">
        <v>0</v>
      </c>
      <c r="B10" s="115" t="s">
        <v>2</v>
      </c>
      <c r="C10" s="115" t="s">
        <v>3</v>
      </c>
      <c r="D10" s="115" t="s">
        <v>4</v>
      </c>
    </row>
    <row r="11" spans="1:4">
      <c r="A11" s="116" t="s">
        <v>5</v>
      </c>
      <c r="B11" s="117">
        <v>12250</v>
      </c>
      <c r="C11" s="117">
        <v>12250</v>
      </c>
      <c r="D11" s="117">
        <v>12750</v>
      </c>
    </row>
    <row r="12" spans="1:4">
      <c r="A12" s="118" t="s">
        <v>57</v>
      </c>
      <c r="B12" s="117">
        <v>14250</v>
      </c>
      <c r="C12" s="117">
        <v>15250</v>
      </c>
      <c r="D12" s="117">
        <v>12050</v>
      </c>
    </row>
    <row r="13" spans="1:4">
      <c r="A13" s="118" t="s">
        <v>58</v>
      </c>
      <c r="B13" s="117">
        <v>11250</v>
      </c>
      <c r="C13" s="117">
        <v>11250</v>
      </c>
      <c r="D13" s="117">
        <v>11750</v>
      </c>
    </row>
    <row r="14" spans="1:4">
      <c r="A14" s="118" t="s">
        <v>59</v>
      </c>
      <c r="B14" s="117">
        <v>10250</v>
      </c>
      <c r="C14" s="117">
        <v>10250</v>
      </c>
      <c r="D14" s="117">
        <v>10750</v>
      </c>
    </row>
    <row r="15" spans="1:4">
      <c r="A15" s="116" t="s">
        <v>5</v>
      </c>
      <c r="B15" s="117">
        <v>25000</v>
      </c>
      <c r="C15" s="117">
        <v>24000</v>
      </c>
      <c r="D15" s="117">
        <v>26390</v>
      </c>
    </row>
    <row r="16" spans="1:4">
      <c r="A16" s="118" t="s">
        <v>57</v>
      </c>
      <c r="B16" s="117">
        <v>25700</v>
      </c>
      <c r="C16" s="117">
        <v>24200</v>
      </c>
      <c r="D16" s="117">
        <v>26930</v>
      </c>
    </row>
    <row r="17" spans="1:4">
      <c r="A17" s="118" t="s">
        <v>58</v>
      </c>
      <c r="B17" s="117">
        <v>24290</v>
      </c>
      <c r="C17" s="117">
        <v>24050</v>
      </c>
      <c r="D17" s="117">
        <v>26600</v>
      </c>
    </row>
    <row r="18" spans="1:4">
      <c r="A18" s="118" t="s">
        <v>59</v>
      </c>
      <c r="B18" s="117">
        <v>25000</v>
      </c>
      <c r="C18" s="117">
        <v>24000</v>
      </c>
      <c r="D18" s="117">
        <v>26000</v>
      </c>
    </row>
    <row r="19" spans="1:4">
      <c r="A19" s="116" t="s">
        <v>5</v>
      </c>
      <c r="B19" s="117">
        <v>6250</v>
      </c>
      <c r="C19" s="117">
        <v>6000</v>
      </c>
      <c r="D19" s="117">
        <v>6500</v>
      </c>
    </row>
    <row r="20" spans="1:4">
      <c r="A20" s="118" t="s">
        <v>57</v>
      </c>
      <c r="B20" s="117">
        <v>5250</v>
      </c>
      <c r="C20" s="117">
        <v>8990</v>
      </c>
      <c r="D20" s="117">
        <v>5515</v>
      </c>
    </row>
    <row r="23" spans="1:4" ht="15" customHeight="1"/>
    <row r="24" spans="1:4" ht="15" customHeight="1"/>
    <row r="25" spans="1:4" ht="15" customHeight="1"/>
    <row r="26" spans="1:4" ht="15" customHeight="1"/>
    <row r="27" spans="1:4" ht="14.5" customHeight="1"/>
    <row r="28" spans="1:4" ht="14.5" customHeight="1"/>
  </sheetData>
  <mergeCells count="1">
    <mergeCell ref="A8:D8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7:E24"/>
  <sheetViews>
    <sheetView workbookViewId="0">
      <selection activeCell="H7" sqref="H7"/>
    </sheetView>
  </sheetViews>
  <sheetFormatPr defaultRowHeight="14.5"/>
  <cols>
    <col min="1" max="5" width="14.7265625" customWidth="1"/>
  </cols>
  <sheetData>
    <row r="7" spans="1:5" ht="20" thickBot="1">
      <c r="A7" s="119" t="s">
        <v>216</v>
      </c>
      <c r="B7" s="119"/>
      <c r="C7" s="119"/>
      <c r="D7" s="119"/>
      <c r="E7" s="119"/>
    </row>
    <row r="8" spans="1:5" ht="15" thickTop="1"/>
    <row r="9" spans="1:5" ht="18.5" thickBot="1">
      <c r="A9" s="10" t="s">
        <v>61</v>
      </c>
      <c r="B9" s="10" t="s">
        <v>62</v>
      </c>
      <c r="C9" s="10" t="s">
        <v>63</v>
      </c>
      <c r="D9" s="10" t="s">
        <v>64</v>
      </c>
      <c r="E9" s="10" t="s">
        <v>65</v>
      </c>
    </row>
    <row r="10" spans="1:5" ht="15" thickTop="1">
      <c r="A10" t="s">
        <v>75</v>
      </c>
      <c r="B10" s="11">
        <v>2015</v>
      </c>
      <c r="C10" s="12">
        <v>1200</v>
      </c>
      <c r="D10" s="11">
        <v>125</v>
      </c>
      <c r="E10" s="11" t="s">
        <v>72</v>
      </c>
    </row>
    <row r="11" spans="1:5">
      <c r="A11" t="s">
        <v>70</v>
      </c>
      <c r="B11" s="11">
        <v>2015</v>
      </c>
      <c r="C11" s="12">
        <v>1105</v>
      </c>
      <c r="D11" s="11">
        <v>111</v>
      </c>
      <c r="E11" s="11" t="s">
        <v>71</v>
      </c>
    </row>
    <row r="12" spans="1:5">
      <c r="A12" t="s">
        <v>70</v>
      </c>
      <c r="B12" s="11">
        <v>2015</v>
      </c>
      <c r="C12" s="12">
        <v>1050</v>
      </c>
      <c r="D12" s="11">
        <v>101</v>
      </c>
      <c r="E12" s="11" t="s">
        <v>67</v>
      </c>
    </row>
    <row r="13" spans="1:5">
      <c r="A13" t="s">
        <v>73</v>
      </c>
      <c r="B13" s="11">
        <v>2015</v>
      </c>
      <c r="C13" s="12">
        <v>1200</v>
      </c>
      <c r="D13" s="11">
        <v>171</v>
      </c>
      <c r="E13" s="11" t="s">
        <v>72</v>
      </c>
    </row>
    <row r="14" spans="1:5" ht="14.5" customHeight="1">
      <c r="A14" t="s">
        <v>66</v>
      </c>
      <c r="B14" s="11">
        <v>2015</v>
      </c>
      <c r="C14" s="12">
        <v>1200</v>
      </c>
      <c r="D14" s="11">
        <v>161</v>
      </c>
      <c r="E14" s="11" t="s">
        <v>72</v>
      </c>
    </row>
    <row r="15" spans="1:5" ht="14.5" customHeight="1">
      <c r="A15" t="s">
        <v>66</v>
      </c>
      <c r="B15" s="11">
        <v>2015</v>
      </c>
      <c r="C15" s="12">
        <v>1105</v>
      </c>
      <c r="D15" s="11">
        <v>70</v>
      </c>
      <c r="E15" s="11" t="s">
        <v>71</v>
      </c>
    </row>
    <row r="16" spans="1:5" ht="14.5" customHeight="1">
      <c r="A16" t="s">
        <v>66</v>
      </c>
      <c r="B16" s="11">
        <v>2015</v>
      </c>
      <c r="C16" s="12">
        <v>1050</v>
      </c>
      <c r="D16" s="11">
        <v>99</v>
      </c>
      <c r="E16" s="11" t="s">
        <v>67</v>
      </c>
    </row>
    <row r="17" spans="1:5" ht="14.5" customHeight="1">
      <c r="A17" t="s">
        <v>69</v>
      </c>
      <c r="B17" s="11">
        <v>2015</v>
      </c>
      <c r="C17" s="12">
        <v>1105</v>
      </c>
      <c r="D17" s="11">
        <v>125</v>
      </c>
      <c r="E17" s="11" t="s">
        <v>71</v>
      </c>
    </row>
    <row r="18" spans="1:5" ht="14.5" customHeight="1">
      <c r="A18" t="s">
        <v>69</v>
      </c>
      <c r="B18" s="11">
        <v>2015</v>
      </c>
      <c r="C18" s="12">
        <v>1105</v>
      </c>
      <c r="D18" s="11">
        <v>125</v>
      </c>
      <c r="E18" s="11" t="s">
        <v>71</v>
      </c>
    </row>
    <row r="19" spans="1:5">
      <c r="A19" t="s">
        <v>69</v>
      </c>
      <c r="B19" s="11">
        <v>2015</v>
      </c>
      <c r="C19" s="12">
        <v>1050</v>
      </c>
      <c r="D19" s="11">
        <v>131</v>
      </c>
      <c r="E19" s="11" t="s">
        <v>67</v>
      </c>
    </row>
    <row r="20" spans="1:5">
      <c r="A20" t="s">
        <v>69</v>
      </c>
      <c r="B20" s="11">
        <v>2015</v>
      </c>
      <c r="C20" s="12">
        <v>1050</v>
      </c>
      <c r="D20" s="11">
        <v>131</v>
      </c>
      <c r="E20" s="11" t="s">
        <v>67</v>
      </c>
    </row>
    <row r="21" spans="1:5">
      <c r="A21" t="s">
        <v>74</v>
      </c>
      <c r="B21" s="11">
        <v>2015</v>
      </c>
      <c r="C21" s="12">
        <v>1200</v>
      </c>
      <c r="D21" s="11">
        <v>70</v>
      </c>
      <c r="E21" s="11" t="s">
        <v>72</v>
      </c>
    </row>
    <row r="22" spans="1:5">
      <c r="A22" t="s">
        <v>68</v>
      </c>
      <c r="B22" s="11">
        <v>2015</v>
      </c>
      <c r="C22" s="12">
        <v>1200</v>
      </c>
      <c r="D22" s="11">
        <v>146</v>
      </c>
      <c r="E22" s="11" t="s">
        <v>72</v>
      </c>
    </row>
    <row r="23" spans="1:5">
      <c r="A23" t="s">
        <v>68</v>
      </c>
      <c r="B23" s="11">
        <v>2015</v>
      </c>
      <c r="C23" s="12">
        <v>1105</v>
      </c>
      <c r="D23" s="11">
        <v>171</v>
      </c>
      <c r="E23" s="11" t="s">
        <v>71</v>
      </c>
    </row>
    <row r="24" spans="1:5">
      <c r="A24" t="s">
        <v>68</v>
      </c>
      <c r="B24" s="11">
        <v>2015</v>
      </c>
      <c r="C24" s="12">
        <v>1050</v>
      </c>
      <c r="D24" s="11">
        <v>89</v>
      </c>
      <c r="E24" s="11" t="s">
        <v>67</v>
      </c>
    </row>
  </sheetData>
  <mergeCells count="1">
    <mergeCell ref="A7:E7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8:F23"/>
  <sheetViews>
    <sheetView workbookViewId="0">
      <selection activeCell="A10" sqref="A10:F15"/>
    </sheetView>
  </sheetViews>
  <sheetFormatPr defaultRowHeight="14.5"/>
  <cols>
    <col min="1" max="6" width="16.7265625" customWidth="1"/>
  </cols>
  <sheetData>
    <row r="8" spans="1:6" ht="18" thickBot="1">
      <c r="A8" s="100" t="s">
        <v>87</v>
      </c>
      <c r="B8" s="101"/>
      <c r="C8" s="101"/>
      <c r="D8" s="101"/>
      <c r="E8" s="101"/>
      <c r="F8" s="101"/>
    </row>
    <row r="10" spans="1:6">
      <c r="A10" s="123" t="s">
        <v>76</v>
      </c>
      <c r="B10" s="124" t="s">
        <v>77</v>
      </c>
      <c r="C10" s="124" t="s">
        <v>78</v>
      </c>
      <c r="D10" s="124" t="s">
        <v>79</v>
      </c>
      <c r="E10" s="124" t="s">
        <v>80</v>
      </c>
      <c r="F10" s="125" t="s">
        <v>81</v>
      </c>
    </row>
    <row r="11" spans="1:6">
      <c r="A11" s="120" t="s">
        <v>82</v>
      </c>
      <c r="B11" s="13">
        <v>4520</v>
      </c>
      <c r="C11" s="14">
        <v>3620</v>
      </c>
      <c r="D11" s="14">
        <v>2560</v>
      </c>
      <c r="E11" s="14">
        <v>2750</v>
      </c>
      <c r="F11" s="121">
        <f>SUM(B11:E11)</f>
        <v>13450</v>
      </c>
    </row>
    <row r="12" spans="1:6">
      <c r="A12" s="120" t="s">
        <v>83</v>
      </c>
      <c r="B12" s="15">
        <v>3220</v>
      </c>
      <c r="C12" s="16">
        <v>5230</v>
      </c>
      <c r="D12" s="16">
        <v>4550</v>
      </c>
      <c r="E12" s="16">
        <v>5400</v>
      </c>
      <c r="F12" s="122">
        <f>SUM(B12:E12)</f>
        <v>18400</v>
      </c>
    </row>
    <row r="13" spans="1:6">
      <c r="A13" s="120" t="s">
        <v>84</v>
      </c>
      <c r="B13" s="15">
        <v>4560</v>
      </c>
      <c r="C13" s="16">
        <v>2320</v>
      </c>
      <c r="D13" s="16">
        <v>3220</v>
      </c>
      <c r="E13" s="16">
        <v>2320</v>
      </c>
      <c r="F13" s="122">
        <f>SUM(B13:E13)</f>
        <v>12420</v>
      </c>
    </row>
    <row r="14" spans="1:6">
      <c r="A14" s="120" t="s">
        <v>85</v>
      </c>
      <c r="B14" s="15">
        <v>5600</v>
      </c>
      <c r="C14" s="16">
        <v>6510</v>
      </c>
      <c r="D14" s="16">
        <v>5660</v>
      </c>
      <c r="E14" s="16">
        <v>4500</v>
      </c>
      <c r="F14" s="122">
        <f>SUM(B14:E14)</f>
        <v>22270</v>
      </c>
    </row>
    <row r="15" spans="1:6">
      <c r="A15" s="126" t="s">
        <v>86</v>
      </c>
      <c r="B15" s="15">
        <v>2330</v>
      </c>
      <c r="C15" s="16">
        <v>4520</v>
      </c>
      <c r="D15" s="16">
        <v>5500</v>
      </c>
      <c r="E15" s="16">
        <v>4510</v>
      </c>
      <c r="F15" s="122">
        <f>SUM(B15:E15)</f>
        <v>16860</v>
      </c>
    </row>
    <row r="20" ht="14.5" customHeight="1"/>
    <row r="21" ht="14.5" customHeight="1"/>
    <row r="22" ht="14.5" customHeight="1"/>
    <row r="23" ht="14.5" customHeight="1"/>
  </sheetData>
  <mergeCells count="1">
    <mergeCell ref="A8:F8"/>
  </mergeCells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7:E30"/>
  <sheetViews>
    <sheetView topLeftCell="A3" workbookViewId="0">
      <selection activeCell="G14" sqref="G14"/>
    </sheetView>
  </sheetViews>
  <sheetFormatPr defaultRowHeight="14.5"/>
  <cols>
    <col min="1" max="5" width="20.7265625" customWidth="1"/>
  </cols>
  <sheetData>
    <row r="7" spans="1:5" ht="17.5" thickBot="1">
      <c r="A7" s="113" t="s">
        <v>217</v>
      </c>
      <c r="B7" s="113"/>
      <c r="C7" s="113"/>
      <c r="D7" s="113"/>
      <c r="E7" s="113"/>
    </row>
    <row r="8" spans="1:5" ht="15" thickTop="1"/>
    <row r="9" spans="1:5" ht="14.15" customHeight="1">
      <c r="A9" s="127" t="s">
        <v>88</v>
      </c>
      <c r="B9" s="128" t="s">
        <v>89</v>
      </c>
      <c r="C9" s="128" t="s">
        <v>90</v>
      </c>
      <c r="D9" s="128" t="s">
        <v>91</v>
      </c>
      <c r="E9" s="128" t="s">
        <v>92</v>
      </c>
    </row>
    <row r="10" spans="1:5" ht="14.15" customHeight="1">
      <c r="A10" s="17" t="s">
        <v>93</v>
      </c>
      <c r="B10" s="17" t="s">
        <v>94</v>
      </c>
      <c r="C10" s="17" t="s">
        <v>95</v>
      </c>
      <c r="D10" s="17" t="s">
        <v>96</v>
      </c>
      <c r="E10" s="17" t="s">
        <v>97</v>
      </c>
    </row>
    <row r="11" spans="1:5" ht="14.15" customHeight="1">
      <c r="A11" s="18" t="s">
        <v>98</v>
      </c>
      <c r="B11" s="18" t="s">
        <v>99</v>
      </c>
      <c r="C11" s="18" t="s">
        <v>100</v>
      </c>
      <c r="D11" s="18" t="s">
        <v>101</v>
      </c>
      <c r="E11" s="18" t="s">
        <v>102</v>
      </c>
    </row>
    <row r="12" spans="1:5" ht="14.15" customHeight="1">
      <c r="A12" s="17" t="s">
        <v>103</v>
      </c>
      <c r="B12" s="17" t="s">
        <v>104</v>
      </c>
      <c r="C12" s="17" t="s">
        <v>105</v>
      </c>
      <c r="D12" s="17" t="s">
        <v>101</v>
      </c>
      <c r="E12" s="17" t="s">
        <v>106</v>
      </c>
    </row>
    <row r="13" spans="1:5" ht="14.15" customHeight="1">
      <c r="A13" s="18" t="s">
        <v>107</v>
      </c>
      <c r="B13" s="18" t="s">
        <v>108</v>
      </c>
      <c r="C13" s="18" t="s">
        <v>109</v>
      </c>
      <c r="D13" s="18" t="s">
        <v>96</v>
      </c>
      <c r="E13" s="18" t="s">
        <v>110</v>
      </c>
    </row>
    <row r="14" spans="1:5" ht="14.15" customHeight="1">
      <c r="A14" s="17" t="s">
        <v>111</v>
      </c>
      <c r="B14" s="17" t="s">
        <v>112</v>
      </c>
      <c r="C14" s="17" t="s">
        <v>113</v>
      </c>
      <c r="D14" s="17" t="s">
        <v>114</v>
      </c>
      <c r="E14" s="17" t="s">
        <v>115</v>
      </c>
    </row>
    <row r="15" spans="1:5" ht="14.15" customHeight="1">
      <c r="A15" s="18" t="s">
        <v>116</v>
      </c>
      <c r="B15" s="18" t="s">
        <v>117</v>
      </c>
      <c r="C15" s="18" t="s">
        <v>118</v>
      </c>
      <c r="D15" s="18" t="s">
        <v>96</v>
      </c>
      <c r="E15" s="18" t="s">
        <v>119</v>
      </c>
    </row>
    <row r="16" spans="1:5" ht="14.15" customHeight="1">
      <c r="A16" s="17" t="s">
        <v>120</v>
      </c>
      <c r="B16" s="17" t="s">
        <v>121</v>
      </c>
      <c r="C16" s="17" t="s">
        <v>122</v>
      </c>
      <c r="D16" s="17" t="s">
        <v>123</v>
      </c>
      <c r="E16" s="17" t="s">
        <v>124</v>
      </c>
    </row>
    <row r="17" spans="1:5" ht="14.15" customHeight="1">
      <c r="A17" s="18" t="s">
        <v>125</v>
      </c>
      <c r="B17" s="18" t="s">
        <v>126</v>
      </c>
      <c r="C17" s="18" t="s">
        <v>127</v>
      </c>
      <c r="D17" s="18" t="s">
        <v>101</v>
      </c>
      <c r="E17" s="18" t="s">
        <v>128</v>
      </c>
    </row>
    <row r="18" spans="1:5" ht="14.15" customHeight="1">
      <c r="A18" s="17" t="s">
        <v>129</v>
      </c>
      <c r="B18" s="17" t="s">
        <v>130</v>
      </c>
      <c r="C18" s="17" t="s">
        <v>131</v>
      </c>
      <c r="D18" s="17" t="s">
        <v>101</v>
      </c>
      <c r="E18" s="17" t="s">
        <v>132</v>
      </c>
    </row>
    <row r="19" spans="1:5" ht="14.15" customHeight="1">
      <c r="A19" s="18" t="s">
        <v>133</v>
      </c>
      <c r="B19" s="18" t="s">
        <v>134</v>
      </c>
      <c r="C19" s="18" t="s">
        <v>135</v>
      </c>
      <c r="D19" s="18" t="s">
        <v>136</v>
      </c>
      <c r="E19" s="18" t="s">
        <v>137</v>
      </c>
    </row>
    <row r="20" spans="1:5" ht="14.15" customHeight="1">
      <c r="A20" s="17" t="s">
        <v>138</v>
      </c>
      <c r="B20" s="17" t="s">
        <v>139</v>
      </c>
      <c r="C20" s="17" t="s">
        <v>140</v>
      </c>
      <c r="D20" s="17" t="s">
        <v>96</v>
      </c>
      <c r="E20" s="17" t="s">
        <v>141</v>
      </c>
    </row>
    <row r="21" spans="1:5" ht="14.15" customHeight="1">
      <c r="A21" s="18" t="s">
        <v>142</v>
      </c>
      <c r="B21" s="18" t="s">
        <v>143</v>
      </c>
      <c r="C21" s="18" t="s">
        <v>144</v>
      </c>
      <c r="D21" s="18" t="s">
        <v>145</v>
      </c>
      <c r="E21" s="18" t="s">
        <v>146</v>
      </c>
    </row>
    <row r="22" spans="1:5" ht="14.15" customHeight="1">
      <c r="A22" s="17" t="s">
        <v>147</v>
      </c>
      <c r="B22" s="17" t="s">
        <v>148</v>
      </c>
      <c r="C22" s="17" t="s">
        <v>149</v>
      </c>
      <c r="D22" s="17" t="s">
        <v>123</v>
      </c>
      <c r="E22" s="17" t="s">
        <v>150</v>
      </c>
    </row>
    <row r="23" spans="1:5" ht="14.15" customHeight="1">
      <c r="A23" s="18" t="s">
        <v>151</v>
      </c>
      <c r="B23" s="18" t="s">
        <v>152</v>
      </c>
      <c r="C23" s="18" t="s">
        <v>153</v>
      </c>
      <c r="D23" s="18" t="s">
        <v>101</v>
      </c>
      <c r="E23" s="18" t="s">
        <v>154</v>
      </c>
    </row>
    <row r="24" spans="1:5" ht="14.15" customHeight="1">
      <c r="A24" s="17" t="s">
        <v>155</v>
      </c>
      <c r="B24" s="17" t="s">
        <v>156</v>
      </c>
      <c r="C24" s="17" t="s">
        <v>157</v>
      </c>
      <c r="D24" s="17" t="s">
        <v>158</v>
      </c>
      <c r="E24" s="17" t="s">
        <v>159</v>
      </c>
    </row>
    <row r="25" spans="1:5" ht="14.15" customHeight="1">
      <c r="A25" s="129" t="s">
        <v>160</v>
      </c>
      <c r="B25" s="129" t="s">
        <v>161</v>
      </c>
      <c r="C25" s="129" t="s">
        <v>162</v>
      </c>
      <c r="D25" s="129" t="s">
        <v>96</v>
      </c>
      <c r="E25" s="129" t="s">
        <v>163</v>
      </c>
    </row>
    <row r="27" spans="1:5" ht="14.5" customHeight="1"/>
    <row r="28" spans="1:5" ht="14.5" customHeight="1"/>
    <row r="29" spans="1:5" ht="14.5" customHeight="1"/>
    <row r="30" spans="1:5" ht="14.5" customHeight="1"/>
  </sheetData>
  <mergeCells count="1">
    <mergeCell ref="A7:E7"/>
  </mergeCells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B11:F55"/>
  <sheetViews>
    <sheetView showGridLines="0" tabSelected="1" zoomScaleSheetLayoutView="100" workbookViewId="0">
      <selection activeCell="H11" sqref="H11"/>
    </sheetView>
  </sheetViews>
  <sheetFormatPr defaultColWidth="9.1796875" defaultRowHeight="12.5"/>
  <cols>
    <col min="1" max="1" width="2.81640625" style="23" customWidth="1"/>
    <col min="2" max="2" width="40.54296875" style="23" customWidth="1"/>
    <col min="3" max="3" width="10.54296875" style="23" bestFit="1" customWidth="1"/>
    <col min="4" max="4" width="13.54296875" style="23" customWidth="1"/>
    <col min="5" max="5" width="13.1796875" style="23" customWidth="1"/>
    <col min="6" max="6" width="22.453125" style="23" bestFit="1" customWidth="1"/>
    <col min="7" max="7" width="9.1796875" style="23"/>
    <col min="8" max="8" width="59.81640625" style="23" customWidth="1"/>
    <col min="9" max="16384" width="9.1796875" style="23"/>
  </cols>
  <sheetData>
    <row r="11" spans="2:6" ht="33">
      <c r="B11" s="19" t="s">
        <v>164</v>
      </c>
      <c r="C11" s="20"/>
      <c r="D11" s="20"/>
      <c r="E11" s="21"/>
      <c r="F11" s="22" t="s">
        <v>165</v>
      </c>
    </row>
    <row r="12" spans="2:6">
      <c r="B12" s="24" t="s">
        <v>166</v>
      </c>
      <c r="C12" s="25"/>
      <c r="D12" s="25"/>
      <c r="E12" s="25"/>
      <c r="F12" s="25"/>
    </row>
    <row r="13" spans="2:6">
      <c r="B13" s="26" t="s">
        <v>167</v>
      </c>
      <c r="C13" s="25"/>
      <c r="D13" s="25"/>
      <c r="E13" s="25"/>
      <c r="F13" s="25"/>
    </row>
    <row r="14" spans="2:6" ht="13" customHeight="1" thickBot="1">
      <c r="B14" s="25"/>
      <c r="C14" s="25"/>
      <c r="D14" s="25"/>
      <c r="E14" s="25"/>
      <c r="F14" s="25"/>
    </row>
    <row r="15" spans="2:6" ht="13" customHeight="1" thickBot="1">
      <c r="B15" s="27" t="s">
        <v>168</v>
      </c>
      <c r="C15" s="28"/>
      <c r="D15" s="29"/>
      <c r="E15" s="30"/>
      <c r="F15" s="31"/>
    </row>
    <row r="16" spans="2:6" ht="13" customHeight="1">
      <c r="B16" s="32" t="s">
        <v>169</v>
      </c>
      <c r="C16" s="28"/>
      <c r="D16" s="33" t="s">
        <v>170</v>
      </c>
      <c r="E16" s="34"/>
      <c r="F16" s="35" t="s">
        <v>171</v>
      </c>
    </row>
    <row r="17" spans="2:6" ht="12.5" customHeight="1">
      <c r="B17" s="36" t="s">
        <v>172</v>
      </c>
      <c r="C17" s="28"/>
      <c r="D17" s="33" t="s">
        <v>173</v>
      </c>
      <c r="E17" s="34"/>
      <c r="F17" s="37" t="s">
        <v>174</v>
      </c>
    </row>
    <row r="18" spans="2:6" ht="12.5" customHeight="1">
      <c r="B18" s="36" t="s">
        <v>175</v>
      </c>
      <c r="C18" s="28"/>
      <c r="D18" s="33" t="s">
        <v>176</v>
      </c>
      <c r="E18" s="34"/>
      <c r="F18" s="35">
        <v>6556</v>
      </c>
    </row>
    <row r="19" spans="2:6" ht="12.5" customHeight="1">
      <c r="B19" s="38" t="s">
        <v>177</v>
      </c>
      <c r="C19" s="28"/>
      <c r="D19" s="33" t="s">
        <v>178</v>
      </c>
      <c r="E19" s="34"/>
      <c r="F19" s="35">
        <v>8787</v>
      </c>
    </row>
    <row r="20" spans="2:6" ht="13.5" customHeight="1" thickBot="1">
      <c r="B20" s="39" t="s">
        <v>179</v>
      </c>
      <c r="C20" s="25"/>
      <c r="D20" s="40" t="s">
        <v>180</v>
      </c>
      <c r="E20" s="41"/>
      <c r="F20" s="42" t="s">
        <v>181</v>
      </c>
    </row>
    <row r="21" spans="2:6" ht="13" customHeight="1" thickBot="1">
      <c r="B21" s="25"/>
      <c r="C21" s="25"/>
    </row>
    <row r="22" spans="2:6" ht="13" customHeight="1" thickBot="1">
      <c r="B22" s="27" t="s">
        <v>182</v>
      </c>
      <c r="C22" s="28"/>
      <c r="D22" s="29"/>
      <c r="E22" s="30"/>
      <c r="F22" s="31"/>
    </row>
    <row r="23" spans="2:6" ht="13" customHeight="1">
      <c r="B23" s="32" t="s">
        <v>169</v>
      </c>
      <c r="C23" s="28"/>
      <c r="D23" s="33" t="s">
        <v>183</v>
      </c>
      <c r="E23" s="34"/>
      <c r="F23" s="43" t="s">
        <v>184</v>
      </c>
    </row>
    <row r="24" spans="2:6" ht="12.5" customHeight="1">
      <c r="B24" s="36" t="s">
        <v>172</v>
      </c>
      <c r="C24" s="28"/>
      <c r="D24" s="33" t="s">
        <v>185</v>
      </c>
      <c r="E24" s="34"/>
      <c r="F24" s="44" t="s">
        <v>186</v>
      </c>
    </row>
    <row r="25" spans="2:6" ht="12.5" customHeight="1">
      <c r="B25" s="36" t="s">
        <v>175</v>
      </c>
      <c r="C25" s="28"/>
      <c r="D25" s="33" t="s">
        <v>187</v>
      </c>
      <c r="E25" s="34"/>
      <c r="F25" s="45" t="s">
        <v>188</v>
      </c>
    </row>
    <row r="26" spans="2:6" ht="12.5" customHeight="1">
      <c r="B26" s="38" t="s">
        <v>177</v>
      </c>
      <c r="C26" s="28"/>
      <c r="D26" s="33" t="s">
        <v>189</v>
      </c>
      <c r="E26" s="34"/>
      <c r="F26" s="45" t="s">
        <v>190</v>
      </c>
    </row>
    <row r="27" spans="2:6" ht="13.5" customHeight="1" thickBot="1">
      <c r="B27" s="39" t="s">
        <v>179</v>
      </c>
      <c r="C27" s="28"/>
      <c r="D27" s="40" t="s">
        <v>191</v>
      </c>
      <c r="E27" s="41"/>
      <c r="F27" s="46">
        <v>7</v>
      </c>
    </row>
    <row r="28" spans="2:6" ht="13" customHeight="1" thickBot="1">
      <c r="B28" s="25"/>
      <c r="C28" s="25"/>
      <c r="D28" s="25"/>
      <c r="E28" s="25"/>
      <c r="F28" s="25"/>
    </row>
    <row r="29" spans="2:6" s="49" customFormat="1" ht="20.25" customHeight="1" thickBot="1">
      <c r="B29" s="47" t="s">
        <v>192</v>
      </c>
      <c r="C29" s="48" t="s">
        <v>193</v>
      </c>
      <c r="D29" s="48" t="s">
        <v>194</v>
      </c>
      <c r="E29" s="25"/>
      <c r="F29" s="25"/>
    </row>
    <row r="30" spans="2:6" ht="30" customHeight="1" thickBot="1">
      <c r="B30" s="50" t="s">
        <v>195</v>
      </c>
      <c r="C30" s="51">
        <v>565632</v>
      </c>
      <c r="D30" s="51">
        <v>255</v>
      </c>
      <c r="E30" s="48" t="s">
        <v>196</v>
      </c>
      <c r="F30" s="48" t="s">
        <v>197</v>
      </c>
    </row>
    <row r="31" spans="2:6" ht="30" customHeight="1">
      <c r="B31" s="52" t="s">
        <v>198</v>
      </c>
      <c r="C31" s="53">
        <v>665656</v>
      </c>
      <c r="D31" s="53">
        <v>55</v>
      </c>
      <c r="E31" s="54">
        <v>7</v>
      </c>
      <c r="F31" s="55">
        <f>ROUND(D30*E31,0)</f>
        <v>1785</v>
      </c>
    </row>
    <row r="32" spans="2:6" ht="30" customHeight="1">
      <c r="B32" s="52" t="s">
        <v>199</v>
      </c>
      <c r="C32" s="53">
        <v>656543</v>
      </c>
      <c r="D32" s="53">
        <v>45</v>
      </c>
      <c r="E32" s="56">
        <v>8</v>
      </c>
      <c r="F32" s="57">
        <f>ROUND(D31*E32,0)</f>
        <v>440</v>
      </c>
    </row>
    <row r="33" spans="2:6" ht="30" customHeight="1">
      <c r="B33" s="52" t="s">
        <v>200</v>
      </c>
      <c r="C33" s="53">
        <v>121322</v>
      </c>
      <c r="D33" s="53">
        <v>645</v>
      </c>
      <c r="E33" s="56">
        <v>50</v>
      </c>
      <c r="F33" s="57">
        <f>ROUND(D32*E33,0)</f>
        <v>2250</v>
      </c>
    </row>
    <row r="34" spans="2:6" ht="30" customHeight="1">
      <c r="B34" s="52" t="s">
        <v>201</v>
      </c>
      <c r="C34" s="53">
        <v>651464</v>
      </c>
      <c r="D34" s="53">
        <v>98</v>
      </c>
      <c r="E34" s="56">
        <v>10</v>
      </c>
      <c r="F34" s="57">
        <f>ROUND(D33*E34,0)</f>
        <v>6450</v>
      </c>
    </row>
    <row r="35" spans="2:6" ht="30" customHeight="1">
      <c r="B35" s="52"/>
      <c r="C35" s="53"/>
      <c r="D35" s="53"/>
      <c r="E35" s="56">
        <v>9</v>
      </c>
      <c r="F35" s="57">
        <f>ROUND(D34*E35,0)</f>
        <v>882</v>
      </c>
    </row>
    <row r="36" spans="2:6" ht="30" customHeight="1" thickBot="1">
      <c r="B36" s="58"/>
      <c r="C36" s="59"/>
      <c r="D36" s="59"/>
      <c r="E36" s="56"/>
      <c r="F36" s="60" t="str">
        <f>IF(E36,E36*B35,"")</f>
        <v/>
      </c>
    </row>
    <row r="37" spans="2:6" ht="15" thickBot="1">
      <c r="B37" s="61" t="s">
        <v>202</v>
      </c>
      <c r="C37" s="62"/>
      <c r="D37" s="63" t="s">
        <v>203</v>
      </c>
      <c r="E37" s="64"/>
      <c r="F37" s="65" t="str">
        <f>IF(E37,E37*B36,"")</f>
        <v/>
      </c>
    </row>
    <row r="38" spans="2:6" ht="14.5">
      <c r="B38" s="66"/>
      <c r="C38" s="67"/>
      <c r="D38" s="68" t="s">
        <v>204</v>
      </c>
      <c r="E38" s="69"/>
      <c r="F38" s="70">
        <f>SUM(F31:F37)</f>
        <v>11807</v>
      </c>
    </row>
    <row r="39" spans="2:6" ht="14.5">
      <c r="B39" s="66"/>
      <c r="C39" s="71"/>
      <c r="D39" s="72" t="s">
        <v>205</v>
      </c>
      <c r="E39" s="73"/>
      <c r="F39" s="74">
        <v>500</v>
      </c>
    </row>
    <row r="40" spans="2:6" ht="14.5">
      <c r="B40" s="66"/>
      <c r="C40" s="67"/>
      <c r="D40" s="75" t="s">
        <v>206</v>
      </c>
      <c r="E40" s="76"/>
      <c r="F40" s="77">
        <f>SUM(F38:F39)</f>
        <v>12307</v>
      </c>
    </row>
    <row r="41" spans="2:6" ht="14.5">
      <c r="B41" s="78"/>
      <c r="C41" s="67"/>
      <c r="D41" s="75" t="s">
        <v>207</v>
      </c>
      <c r="E41" s="73"/>
      <c r="F41" s="79">
        <f>ROUND(F40*9%,0)</f>
        <v>1108</v>
      </c>
    </row>
    <row r="42" spans="2:6" ht="15" thickBot="1">
      <c r="B42" s="80" t="s">
        <v>208</v>
      </c>
      <c r="C42" s="81"/>
      <c r="D42" s="82" t="s">
        <v>209</v>
      </c>
      <c r="E42" s="73"/>
      <c r="F42" s="79">
        <f>ROUND(F40*9%,0)</f>
        <v>1108</v>
      </c>
    </row>
    <row r="43" spans="2:6" ht="15" thickBot="1">
      <c r="B43" s="83"/>
      <c r="C43" s="84"/>
      <c r="D43" s="85"/>
      <c r="E43" s="86"/>
      <c r="F43" s="87">
        <f>SUM(F40:F42)</f>
        <v>14523</v>
      </c>
    </row>
    <row r="44" spans="2:6" ht="13" thickBot="1">
      <c r="B44" s="88" t="s">
        <v>210</v>
      </c>
      <c r="C44" s="89"/>
      <c r="D44" s="89"/>
      <c r="E44" s="85"/>
      <c r="F44" s="90"/>
    </row>
    <row r="45" spans="2:6" ht="13" thickBot="1">
      <c r="B45" s="91" t="s">
        <v>211</v>
      </c>
      <c r="C45" s="92"/>
      <c r="D45" s="92"/>
      <c r="E45" s="89"/>
      <c r="F45" s="93"/>
    </row>
    <row r="46" spans="2:6" ht="13" thickBot="1">
      <c r="B46" s="78"/>
      <c r="C46" s="94"/>
      <c r="D46" s="94"/>
      <c r="E46" s="92"/>
      <c r="F46" s="95"/>
    </row>
    <row r="47" spans="2:6" ht="13">
      <c r="B47" s="96" t="s">
        <v>212</v>
      </c>
      <c r="C47" s="94"/>
      <c r="D47" s="94"/>
      <c r="E47" s="94"/>
      <c r="F47" s="97"/>
    </row>
    <row r="48" spans="2:6" ht="13">
      <c r="B48" s="98"/>
      <c r="C48" s="94"/>
      <c r="D48" s="94"/>
      <c r="E48" s="94"/>
      <c r="F48" s="99" t="s">
        <v>213</v>
      </c>
    </row>
    <row r="49" spans="2:6">
      <c r="B49" s="98"/>
      <c r="C49" s="94"/>
      <c r="D49" s="94"/>
      <c r="E49" s="94"/>
      <c r="F49" s="97"/>
    </row>
    <row r="50" spans="2:6" ht="13">
      <c r="B50" s="98"/>
      <c r="C50" s="94"/>
      <c r="D50" s="94"/>
      <c r="E50" s="94"/>
      <c r="F50" s="99"/>
    </row>
    <row r="51" spans="2:6" ht="13">
      <c r="B51" s="98"/>
      <c r="C51" s="94"/>
      <c r="D51" s="94"/>
      <c r="E51" s="94"/>
      <c r="F51" s="99"/>
    </row>
    <row r="52" spans="2:6" ht="13">
      <c r="B52" s="78"/>
      <c r="C52" s="94"/>
      <c r="D52" s="94"/>
      <c r="E52" s="94"/>
      <c r="F52" s="99"/>
    </row>
    <row r="53" spans="2:6" ht="13.5" thickBot="1">
      <c r="B53" s="78"/>
      <c r="C53" s="94"/>
      <c r="D53" s="94"/>
      <c r="E53" s="94"/>
      <c r="F53" s="99" t="s">
        <v>214</v>
      </c>
    </row>
    <row r="54" spans="2:6" ht="13" thickBot="1">
      <c r="B54" s="29"/>
      <c r="C54" s="30"/>
      <c r="D54" s="30"/>
      <c r="E54" s="94"/>
      <c r="F54" s="97"/>
    </row>
    <row r="55" spans="2:6" ht="13" thickBot="1">
      <c r="E55" s="30"/>
      <c r="F55" s="31"/>
    </row>
  </sheetData>
  <pageMargins left="0.25" right="0.25" top="0.32" bottom="0.23" header="0.3" footer="0.3"/>
  <pageSetup scale="9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Employee details</vt:lpstr>
      <vt:lpstr>Bar chart</vt:lpstr>
      <vt:lpstr>Division Sales</vt:lpstr>
      <vt:lpstr>Cost</vt:lpstr>
      <vt:lpstr>WEEK</vt:lpstr>
      <vt:lpstr>customer</vt:lpstr>
      <vt:lpstr>Quote</vt:lpstr>
      <vt:lpstr>Price_Unit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2025-05-14T08:29:24Z</dcterms:modified>
</cp:coreProperties>
</file>